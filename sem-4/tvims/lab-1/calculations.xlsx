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ubsage\Downloads\Telegram Desktop\"/>
    </mc:Choice>
  </mc:AlternateContent>
  <xr:revisionPtr revIDLastSave="0" documentId="13_ncr:1_{14E1D6DC-8E90-4D9A-8915-75AA2603119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Лист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82" i="1" l="1"/>
  <c r="E81" i="1"/>
  <c r="E80" i="1"/>
  <c r="E79" i="1"/>
  <c r="E78" i="1"/>
  <c r="E77" i="1"/>
  <c r="D77" i="1"/>
  <c r="D78" i="1"/>
  <c r="D79" i="1"/>
  <c r="D80" i="1"/>
  <c r="D81" i="1"/>
  <c r="D82" i="1"/>
  <c r="D71" i="1"/>
  <c r="E71" i="1"/>
  <c r="F71" i="1"/>
  <c r="G71" i="1"/>
  <c r="D72" i="1"/>
  <c r="E72" i="1"/>
  <c r="F72" i="1"/>
  <c r="G72" i="1"/>
  <c r="H46" i="1"/>
  <c r="G46" i="1"/>
  <c r="D46" i="1"/>
  <c r="E43" i="1"/>
  <c r="D43" i="1"/>
  <c r="F40" i="1"/>
  <c r="F46" i="1" s="1"/>
  <c r="E40" i="1"/>
  <c r="D40" i="1"/>
  <c r="E37" i="1"/>
  <c r="F37" i="1" s="1"/>
  <c r="D37" i="1"/>
  <c r="E3" i="1"/>
  <c r="F3" i="1" s="1"/>
  <c r="D3" i="1"/>
  <c r="H3" i="1" l="1"/>
  <c r="H37" i="1"/>
  <c r="O37" i="1"/>
  <c r="G37" i="1"/>
  <c r="N37" i="1"/>
  <c r="G40" i="1"/>
  <c r="G3" i="1"/>
  <c r="L37" i="1" l="1"/>
  <c r="K37" i="1"/>
  <c r="N38" i="1"/>
  <c r="O38" i="1" l="1"/>
  <c r="L38" i="1" s="1"/>
  <c r="K38" i="1"/>
  <c r="N39" i="1" l="1"/>
  <c r="O39" i="1" l="1"/>
  <c r="L39" i="1"/>
  <c r="K39" i="1"/>
  <c r="N40" i="1" l="1"/>
  <c r="O40" i="1" l="1"/>
  <c r="L40" i="1"/>
  <c r="K40" i="1"/>
  <c r="N41" i="1" l="1"/>
  <c r="O41" i="1" l="1"/>
  <c r="L41" i="1"/>
  <c r="K41" i="1"/>
  <c r="N42" i="1" l="1"/>
  <c r="O42" i="1" l="1"/>
  <c r="M37" i="1" s="1" a="1"/>
  <c r="L42" i="1"/>
  <c r="M41" i="1" l="1"/>
  <c r="J50" i="1" s="1"/>
  <c r="M40" i="1"/>
  <c r="J49" i="1" s="1"/>
  <c r="M39" i="1"/>
  <c r="J48" i="1" s="1"/>
  <c r="M38" i="1"/>
  <c r="J47" i="1" s="1"/>
  <c r="M43" i="1"/>
  <c r="M42" i="1"/>
  <c r="J51" i="1" s="1"/>
  <c r="M37" i="1"/>
  <c r="J46" i="1" s="1"/>
  <c r="K42" i="1"/>
  <c r="D50" i="1" l="1"/>
  <c r="K46" i="1" l="1"/>
  <c r="K47" i="1"/>
  <c r="K48" i="1"/>
  <c r="K49" i="1"/>
  <c r="K50" i="1"/>
  <c r="K51" i="1"/>
  <c r="E50" i="1" l="1"/>
  <c r="F50" i="1" s="1"/>
</calcChain>
</file>

<file path=xl/sharedStrings.xml><?xml version="1.0" encoding="utf-8"?>
<sst xmlns="http://schemas.openxmlformats.org/spreadsheetml/2006/main" count="42" uniqueCount="36">
  <si>
    <t>УФО, СФО, ДФО</t>
  </si>
  <si>
    <t>среднее арифметическое</t>
  </si>
  <si>
    <t xml:space="preserve">выборочная дисперсия </t>
  </si>
  <si>
    <t xml:space="preserve">выборочное среднее квадратичное отклонение </t>
  </si>
  <si>
    <t>прав 3 сигм, нижняя граница</t>
  </si>
  <si>
    <t>прав 3 сигм, верхняя граница</t>
  </si>
  <si>
    <t>Аномалия?→</t>
  </si>
  <si>
    <t>УФО, СФО, ДФО - АНОМАЛИИ</t>
  </si>
  <si>
    <t>Номер</t>
  </si>
  <si>
    <t>Интервал</t>
  </si>
  <si>
    <t>Середина интервала</t>
  </si>
  <si>
    <t xml:space="preserve">Частота </t>
  </si>
  <si>
    <t>Нижняя граница</t>
  </si>
  <si>
    <t>Верхняя граница</t>
  </si>
  <si>
    <t>Мода</t>
  </si>
  <si>
    <t>Медиана</t>
  </si>
  <si>
    <t>Размах</t>
  </si>
  <si>
    <t>Ср. квадратичное по размаху</t>
  </si>
  <si>
    <t xml:space="preserve"> </t>
  </si>
  <si>
    <t>Нижний квартиль</t>
  </si>
  <si>
    <t>Верхний квартиль</t>
  </si>
  <si>
    <t>ДАННЫЕ ДЛЯ ПОДСЧЕТА</t>
  </si>
  <si>
    <t>Кол-во (N)</t>
  </si>
  <si>
    <t>Кол-во интервалов</t>
  </si>
  <si>
    <t>Ширины интервала</t>
  </si>
  <si>
    <t>МИН</t>
  </si>
  <si>
    <t>МАКС</t>
  </si>
  <si>
    <t>b0</t>
  </si>
  <si>
    <t>b1</t>
  </si>
  <si>
    <t>ИЗ СГРУППИРОВАННОЙ СТАТИЧЕСКОЙ ВЫБОРКИ</t>
  </si>
  <si>
    <t>Мат ожидание</t>
  </si>
  <si>
    <t>Дисперсия</t>
  </si>
  <si>
    <t>Ср квадратичное</t>
  </si>
  <si>
    <t>сгруппированный статистический ряд с накопленными частотами</t>
  </si>
  <si>
    <t>Гистограмма (частота / номер ряда)</t>
  </si>
  <si>
    <t>Эмпирическая функция распределения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</si>
</sst>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0"/>
  </numFmts>
  <fonts count="2" x14ac:knownFonts="1">
    <font>
      <sz val="11"/>
      <color theme="1"/>
      <name val="Calibri"/>
      <family val="2"/>
      <charset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 applyAlignment="1">
      <alignment horizontal="left" vertical="top"/>
    </xf>
    <xf numFmtId="168" fontId="0" fillId="0" borderId="0" xfId="0" applyNumberFormat="1" applyAlignment="1">
      <alignment horizontal="left" vertical="top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Лист1!$M$37:$M$42</c:f>
              <c:numCache>
                <c:formatCode>0.00</c:formatCode>
                <c:ptCount val="6"/>
                <c:pt idx="0">
                  <c:v>15</c:v>
                </c:pt>
                <c:pt idx="1">
                  <c:v>5</c:v>
                </c:pt>
                <c:pt idx="2">
                  <c:v>5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CD-4BE0-80DC-B1EAB71C2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7630472"/>
        <c:axId val="577635152"/>
      </c:barChart>
      <c:catAx>
        <c:axId val="5776304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635152"/>
        <c:crosses val="autoZero"/>
        <c:auto val="1"/>
        <c:lblAlgn val="ctr"/>
        <c:lblOffset val="100"/>
        <c:noMultiLvlLbl val="0"/>
      </c:catAx>
      <c:valAx>
        <c:axId val="57763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63047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Лист1!$E$77:$E$82</c:f>
              <c:numCache>
                <c:formatCode>0.00</c:formatCode>
                <c:ptCount val="6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27</c:v>
                </c:pt>
                <c:pt idx="4">
                  <c:v>28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17-4BC8-850B-0DF73AD79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577630472"/>
        <c:axId val="577635152"/>
      </c:barChart>
      <c:catAx>
        <c:axId val="5776304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635152"/>
        <c:crosses val="autoZero"/>
        <c:auto val="1"/>
        <c:lblAlgn val="ctr"/>
        <c:lblOffset val="100"/>
        <c:noMultiLvlLbl val="0"/>
      </c:catAx>
      <c:valAx>
        <c:axId val="57763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63047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53</xdr:row>
      <xdr:rowOff>28575</xdr:rowOff>
    </xdr:from>
    <xdr:to>
      <xdr:col>5</xdr:col>
      <xdr:colOff>1362075</xdr:colOff>
      <xdr:row>69</xdr:row>
      <xdr:rowOff>28575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383ED72-BE81-4BE4-BA31-651FB28851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647700</xdr:colOff>
      <xdr:row>85</xdr:row>
      <xdr:rowOff>47625</xdr:rowOff>
    </xdr:from>
    <xdr:to>
      <xdr:col>5</xdr:col>
      <xdr:colOff>1352550</xdr:colOff>
      <xdr:row>108</xdr:row>
      <xdr:rowOff>85725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E53F554-21DC-4B71-AB8B-3C642681BC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85"/>
  <sheetViews>
    <sheetView tabSelected="1" topLeftCell="A52" zoomScaleNormal="100" workbookViewId="0">
      <selection activeCell="F37" sqref="F37"/>
    </sheetView>
  </sheetViews>
  <sheetFormatPr defaultColWidth="9.140625" defaultRowHeight="15" customHeight="1" x14ac:dyDescent="0.25"/>
  <cols>
    <col min="1" max="1" width="9.140625" style="1"/>
    <col min="2" max="2" width="28.5703125" style="1" customWidth="1"/>
    <col min="3" max="3" width="9.85546875" style="1" customWidth="1"/>
    <col min="4" max="4" width="25.140625" style="1" customWidth="1"/>
    <col min="5" max="5" width="23" style="1" customWidth="1"/>
    <col min="6" max="6" width="47.140625" style="1" customWidth="1"/>
    <col min="7" max="7" width="27.42578125" style="1" customWidth="1"/>
    <col min="8" max="8" width="28.140625" style="1" customWidth="1"/>
    <col min="9" max="9" width="18.42578125" style="1" customWidth="1"/>
    <col min="10" max="10" width="9.140625" style="1"/>
    <col min="11" max="11" width="16.5703125" style="1" customWidth="1"/>
    <col min="12" max="12" width="18.140625" style="1" customWidth="1"/>
    <col min="13" max="15" width="18.42578125" style="1" customWidth="1"/>
    <col min="16" max="16" width="9.140625" style="1"/>
    <col min="17" max="17" width="18.42578125" style="1" customWidth="1"/>
    <col min="18" max="16384" width="9.140625" style="1"/>
  </cols>
  <sheetData>
    <row r="2" spans="2:8" x14ac:dyDescent="0.25">
      <c r="B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</row>
    <row r="3" spans="2:8" x14ac:dyDescent="0.25">
      <c r="B3" s="1">
        <v>18169</v>
      </c>
      <c r="D3" s="1">
        <f>AVERAGE(B3:B33)</f>
        <v>22489.096774193549</v>
      </c>
      <c r="E3" s="1">
        <f>_xlfn.VAR.S(B3:B33)</f>
        <v>46536343.023655891</v>
      </c>
      <c r="F3" s="1">
        <f>SQRT(E3)</f>
        <v>6821.7551277992889</v>
      </c>
      <c r="G3" s="1">
        <f>D3-(3*F3)</f>
        <v>2023.8313907956835</v>
      </c>
      <c r="H3" s="1">
        <f>D3+(3*F3)</f>
        <v>42954.362157591415</v>
      </c>
    </row>
    <row r="4" spans="2:8" x14ac:dyDescent="0.25">
      <c r="B4" s="1">
        <v>19136</v>
      </c>
    </row>
    <row r="5" spans="2:8" x14ac:dyDescent="0.25">
      <c r="B5" s="1">
        <v>23165</v>
      </c>
    </row>
    <row r="6" spans="2:8" x14ac:dyDescent="0.25">
      <c r="B6" s="1">
        <v>26480</v>
      </c>
    </row>
    <row r="7" spans="2:8" x14ac:dyDescent="0.25">
      <c r="B7" s="1">
        <v>19329</v>
      </c>
    </row>
    <row r="8" spans="2:8" x14ac:dyDescent="0.25">
      <c r="B8" s="1">
        <v>17782</v>
      </c>
    </row>
    <row r="9" spans="2:8" x14ac:dyDescent="0.25">
      <c r="B9" s="1">
        <v>18362</v>
      </c>
    </row>
    <row r="10" spans="2:8" x14ac:dyDescent="0.25">
      <c r="B10" s="1">
        <v>19522</v>
      </c>
    </row>
    <row r="11" spans="2:8" x14ac:dyDescent="0.25">
      <c r="B11" s="1">
        <v>19716</v>
      </c>
    </row>
    <row r="12" spans="2:8" x14ac:dyDescent="0.25">
      <c r="B12" s="1">
        <v>17202</v>
      </c>
    </row>
    <row r="13" spans="2:8" x14ac:dyDescent="0.25">
      <c r="B13" s="1">
        <v>21456</v>
      </c>
    </row>
    <row r="14" spans="2:8" x14ac:dyDescent="0.25">
      <c r="B14" s="1">
        <v>20489</v>
      </c>
    </row>
    <row r="15" spans="2:8" x14ac:dyDescent="0.25">
      <c r="B15" s="1">
        <v>17589</v>
      </c>
    </row>
    <row r="16" spans="2:8" x14ac:dyDescent="0.25">
      <c r="B16" s="1">
        <v>18942</v>
      </c>
    </row>
    <row r="17" spans="1:2" x14ac:dyDescent="0.25">
      <c r="B17" s="1">
        <v>16816</v>
      </c>
    </row>
    <row r="18" spans="1:2" x14ac:dyDescent="0.25">
      <c r="B18" s="1">
        <v>18942</v>
      </c>
    </row>
    <row r="19" spans="1:2" x14ac:dyDescent="0.25">
      <c r="B19" s="1">
        <v>21069</v>
      </c>
    </row>
    <row r="20" spans="1:2" x14ac:dyDescent="0.25">
      <c r="B20" s="1">
        <v>29187</v>
      </c>
    </row>
    <row r="21" spans="1:2" x14ac:dyDescent="0.25">
      <c r="B21" s="1">
        <v>22615</v>
      </c>
    </row>
    <row r="22" spans="1:2" x14ac:dyDescent="0.25">
      <c r="B22" s="1">
        <v>34019</v>
      </c>
    </row>
    <row r="23" spans="1:2" x14ac:dyDescent="0.25">
      <c r="B23" s="1">
        <v>23001</v>
      </c>
    </row>
    <row r="24" spans="1:2" x14ac:dyDescent="0.25">
      <c r="B24" s="1">
        <v>23581</v>
      </c>
    </row>
    <row r="25" spans="1:2" x14ac:dyDescent="0.25">
      <c r="B25" s="1">
        <v>22228</v>
      </c>
    </row>
    <row r="26" spans="1:2" x14ac:dyDescent="0.25">
      <c r="B26" s="1">
        <v>33632</v>
      </c>
    </row>
    <row r="27" spans="1:2" x14ac:dyDescent="0.25">
      <c r="B27" s="1">
        <v>26288</v>
      </c>
    </row>
    <row r="28" spans="1:2" x14ac:dyDescent="0.25">
      <c r="B28" s="1">
        <v>24161</v>
      </c>
    </row>
    <row r="29" spans="1:2" x14ac:dyDescent="0.25">
      <c r="A29" s="1" t="s">
        <v>6</v>
      </c>
      <c r="B29" s="1">
        <v>50448</v>
      </c>
    </row>
    <row r="30" spans="1:2" x14ac:dyDescent="0.25">
      <c r="B30" s="1">
        <v>18169</v>
      </c>
    </row>
    <row r="31" spans="1:2" x14ac:dyDescent="0.25">
      <c r="B31" s="1">
        <v>18169</v>
      </c>
    </row>
    <row r="32" spans="1:2" x14ac:dyDescent="0.25">
      <c r="B32" s="1">
        <v>18749</v>
      </c>
    </row>
    <row r="33" spans="2:15" x14ac:dyDescent="0.25">
      <c r="B33" s="1">
        <v>18749</v>
      </c>
    </row>
    <row r="36" spans="2:15" x14ac:dyDescent="0.25">
      <c r="B36" s="1" t="s">
        <v>7</v>
      </c>
      <c r="D36" s="1" t="s">
        <v>1</v>
      </c>
      <c r="E36" s="1" t="s">
        <v>2</v>
      </c>
      <c r="F36" s="1" t="s">
        <v>3</v>
      </c>
      <c r="G36" s="1" t="s">
        <v>4</v>
      </c>
      <c r="H36" s="1" t="s">
        <v>5</v>
      </c>
      <c r="J36" s="1" t="s">
        <v>8</v>
      </c>
      <c r="K36" s="1" t="s">
        <v>9</v>
      </c>
      <c r="L36" s="1" t="s">
        <v>10</v>
      </c>
      <c r="M36" s="1" t="s">
        <v>11</v>
      </c>
      <c r="N36" s="1" t="s">
        <v>12</v>
      </c>
      <c r="O36" s="1" t="s">
        <v>13</v>
      </c>
    </row>
    <row r="37" spans="2:15" x14ac:dyDescent="0.25">
      <c r="B37" s="1">
        <v>18169</v>
      </c>
      <c r="D37" s="1">
        <f>AVERAGE(B37:B66)</f>
        <v>21557.133333333335</v>
      </c>
      <c r="E37" s="1">
        <f>_xlfn.VAR.S(B37:B66)</f>
        <v>20287356.740229901</v>
      </c>
      <c r="F37" s="1">
        <f>SQRT(E37)</f>
        <v>4504.1488363762919</v>
      </c>
      <c r="G37" s="1">
        <f>D37-(3*F37)</f>
        <v>8044.6868242044584</v>
      </c>
      <c r="H37" s="1">
        <f>D37+(3*F37)</f>
        <v>35069.579842462212</v>
      </c>
      <c r="J37" s="1">
        <v>1</v>
      </c>
      <c r="K37" s="1" t="str">
        <f t="shared" ref="K37:K42" si="0">"[" &amp; TEXT(N37,"# ##0") &amp; "; " &amp; TEXT(O37,"# ##0") &amp; "]"</f>
        <v>[16 816; 19 683]</v>
      </c>
      <c r="L37" s="1">
        <f t="shared" ref="L37:L42" si="1">(N37+O37)/2</f>
        <v>18249.583333333336</v>
      </c>
      <c r="M37" s="1">
        <f t="array" ref="M37:M43">FREQUENCY(B37:B66,O37:O42)</f>
        <v>15</v>
      </c>
      <c r="N37" s="1">
        <f>G46</f>
        <v>16816</v>
      </c>
      <c r="O37" s="1">
        <f>G46+F46</f>
        <v>19683.166666666668</v>
      </c>
    </row>
    <row r="38" spans="2:15" x14ac:dyDescent="0.25">
      <c r="B38" s="1">
        <v>19136</v>
      </c>
      <c r="J38" s="1">
        <v>2</v>
      </c>
      <c r="K38" s="1" t="str">
        <f t="shared" si="0"/>
        <v>[19 683; 22 550]</v>
      </c>
      <c r="L38" s="1">
        <f t="shared" si="1"/>
        <v>21116.75</v>
      </c>
      <c r="M38" s="1">
        <v>5</v>
      </c>
      <c r="N38" s="1">
        <f>O37</f>
        <v>19683.166666666668</v>
      </c>
      <c r="O38" s="1">
        <f>N38+F46</f>
        <v>22550.333333333336</v>
      </c>
    </row>
    <row r="39" spans="2:15" x14ac:dyDescent="0.25">
      <c r="B39" s="1">
        <v>23165</v>
      </c>
      <c r="D39" s="1" t="s">
        <v>14</v>
      </c>
      <c r="E39" s="1" t="s">
        <v>15</v>
      </c>
      <c r="F39" s="1" t="s">
        <v>16</v>
      </c>
      <c r="G39" s="1" t="s">
        <v>17</v>
      </c>
      <c r="H39" s="1" t="s">
        <v>18</v>
      </c>
      <c r="J39" s="1">
        <v>3</v>
      </c>
      <c r="K39" s="1" t="str">
        <f t="shared" si="0"/>
        <v>[22 550; 25 418]</v>
      </c>
      <c r="L39" s="1">
        <f t="shared" si="1"/>
        <v>23983.916666666672</v>
      </c>
      <c r="M39" s="1">
        <v>5</v>
      </c>
      <c r="N39" s="1">
        <f>O38</f>
        <v>22550.333333333336</v>
      </c>
      <c r="O39" s="1">
        <f>N39+F46</f>
        <v>25417.500000000004</v>
      </c>
    </row>
    <row r="40" spans="2:15" x14ac:dyDescent="0.25">
      <c r="B40" s="1">
        <v>26480</v>
      </c>
      <c r="D40" s="1">
        <f>MODE(B37:B66)</f>
        <v>18169</v>
      </c>
      <c r="E40" s="1">
        <f>MEDIAN(B37:B66)</f>
        <v>19619</v>
      </c>
      <c r="F40" s="1">
        <f>MAX(B37:B66) - MIN(B37:B66)</f>
        <v>17203</v>
      </c>
      <c r="G40" s="1">
        <f>F40 / 6</f>
        <v>2867.1666666666665</v>
      </c>
      <c r="J40" s="1">
        <v>4</v>
      </c>
      <c r="K40" s="1" t="str">
        <f t="shared" si="0"/>
        <v>[25 418; 28 285]</v>
      </c>
      <c r="L40" s="1">
        <f t="shared" si="1"/>
        <v>26851.083333333336</v>
      </c>
      <c r="M40" s="1">
        <v>2</v>
      </c>
      <c r="N40" s="1">
        <f>O39</f>
        <v>25417.500000000004</v>
      </c>
      <c r="O40" s="1">
        <f>N40+F46</f>
        <v>28284.666666666672</v>
      </c>
    </row>
    <row r="41" spans="2:15" x14ac:dyDescent="0.25">
      <c r="B41" s="1">
        <v>19329</v>
      </c>
      <c r="J41" s="1">
        <v>5</v>
      </c>
      <c r="K41" s="1" t="str">
        <f t="shared" si="0"/>
        <v>[28 285; 31 152]</v>
      </c>
      <c r="L41" s="1">
        <f t="shared" si="1"/>
        <v>29718.250000000007</v>
      </c>
      <c r="M41" s="1">
        <v>1</v>
      </c>
      <c r="N41" s="1">
        <f>O40</f>
        <v>28284.666666666672</v>
      </c>
      <c r="O41" s="1">
        <f>N41+F46</f>
        <v>31151.833333333339</v>
      </c>
    </row>
    <row r="42" spans="2:15" x14ac:dyDescent="0.25">
      <c r="B42" s="1">
        <v>17782</v>
      </c>
      <c r="D42" s="1" t="s">
        <v>19</v>
      </c>
      <c r="E42" s="1" t="s">
        <v>20</v>
      </c>
      <c r="J42" s="1">
        <v>6</v>
      </c>
      <c r="K42" s="1" t="str">
        <f t="shared" si="0"/>
        <v>[31 152; 34 019]</v>
      </c>
      <c r="L42" s="1">
        <f t="shared" si="1"/>
        <v>32585.416666666672</v>
      </c>
      <c r="M42" s="1">
        <v>2</v>
      </c>
      <c r="N42" s="1">
        <f>O41</f>
        <v>31151.833333333339</v>
      </c>
      <c r="O42" s="1">
        <f>N42+F46</f>
        <v>34019.000000000007</v>
      </c>
    </row>
    <row r="43" spans="2:15" x14ac:dyDescent="0.25">
      <c r="B43" s="1">
        <v>18362</v>
      </c>
      <c r="D43" s="1">
        <f>QUARTILE(B37:B66, 1)</f>
        <v>18458.75</v>
      </c>
      <c r="E43" s="1">
        <f>QUARTILE(B37:B66, 3)</f>
        <v>23124</v>
      </c>
      <c r="M43" s="1">
        <v>0</v>
      </c>
    </row>
    <row r="44" spans="2:15" x14ac:dyDescent="0.25">
      <c r="B44" s="1">
        <v>19522</v>
      </c>
      <c r="J44" t="s">
        <v>21</v>
      </c>
    </row>
    <row r="45" spans="2:15" x14ac:dyDescent="0.25">
      <c r="B45" s="1">
        <v>19716</v>
      </c>
      <c r="D45" s="1" t="s">
        <v>22</v>
      </c>
      <c r="E45" s="1" t="s">
        <v>23</v>
      </c>
      <c r="F45" s="1" t="s">
        <v>24</v>
      </c>
      <c r="G45" s="1" t="s">
        <v>25</v>
      </c>
      <c r="H45" s="1" t="s">
        <v>26</v>
      </c>
      <c r="J45" t="s">
        <v>27</v>
      </c>
      <c r="K45" s="1" t="s">
        <v>28</v>
      </c>
    </row>
    <row r="46" spans="2:15" x14ac:dyDescent="0.25">
      <c r="B46" s="1">
        <v>17202</v>
      </c>
      <c r="D46" s="1">
        <f>COUNT(B37:B66)</f>
        <v>30</v>
      </c>
      <c r="E46" s="1">
        <v>6</v>
      </c>
      <c r="F46" s="1">
        <f>F40/E46</f>
        <v>2867.1666666666665</v>
      </c>
      <c r="G46" s="1">
        <f>MIN(B37:B66)</f>
        <v>16816</v>
      </c>
      <c r="H46" s="1">
        <f>MAX(B37:B66)</f>
        <v>34019</v>
      </c>
      <c r="J46">
        <f t="shared" ref="J46:J51" si="2">L37*M37</f>
        <v>273743.75000000006</v>
      </c>
      <c r="K46" s="1">
        <f>POWER(L37-D50,2)*M37</f>
        <v>167838162.51157442</v>
      </c>
    </row>
    <row r="47" spans="2:15" x14ac:dyDescent="0.25">
      <c r="B47" s="1">
        <v>21456</v>
      </c>
      <c r="D47"/>
      <c r="E47"/>
      <c r="F47"/>
      <c r="J47">
        <f t="shared" si="2"/>
        <v>105583.75</v>
      </c>
      <c r="K47" s="1">
        <f>POWER(L38-D50,2)*M38</f>
        <v>1141756.2075617556</v>
      </c>
    </row>
    <row r="48" spans="2:15" x14ac:dyDescent="0.25">
      <c r="B48" s="1">
        <v>20489</v>
      </c>
      <c r="D48" t="s">
        <v>29</v>
      </c>
      <c r="E48"/>
      <c r="F48"/>
      <c r="J48">
        <f t="shared" si="2"/>
        <v>119919.58333333336</v>
      </c>
      <c r="K48" s="1">
        <f>POWER(L39-D50,2)*M39</f>
        <v>28543905.18904319</v>
      </c>
    </row>
    <row r="49" spans="2:11" x14ac:dyDescent="0.25">
      <c r="B49" s="1">
        <v>17589</v>
      </c>
      <c r="D49" s="1" t="s">
        <v>30</v>
      </c>
      <c r="E49" s="1" t="s">
        <v>31</v>
      </c>
      <c r="F49" s="1" t="s">
        <v>32</v>
      </c>
      <c r="J49">
        <f t="shared" si="2"/>
        <v>53702.166666666672</v>
      </c>
      <c r="K49" s="1">
        <f>POWER(L40-D50,2)*M40</f>
        <v>55261000.44598759</v>
      </c>
    </row>
    <row r="50" spans="2:11" x14ac:dyDescent="0.25">
      <c r="B50" s="1">
        <v>18942</v>
      </c>
      <c r="D50" s="1">
        <f>SUM(J46:J51)/D46</f>
        <v>21594.611111111117</v>
      </c>
      <c r="E50" s="1">
        <f>SUM(K46:K51)/D46</f>
        <v>18679131.555709887</v>
      </c>
      <c r="F50" s="1">
        <f>SQRT(E50)</f>
        <v>4321.9360888044012</v>
      </c>
      <c r="J50">
        <f t="shared" si="2"/>
        <v>29718.250000000007</v>
      </c>
      <c r="K50" s="1">
        <f>POWER(L41-D50,2)*M41</f>
        <v>65993508.797067925</v>
      </c>
    </row>
    <row r="51" spans="2:11" x14ac:dyDescent="0.25">
      <c r="B51" s="1">
        <v>16816</v>
      </c>
      <c r="J51">
        <f t="shared" si="2"/>
        <v>65170.833333333343</v>
      </c>
      <c r="K51" s="1">
        <f>POWER(L42-D50,2)*M42</f>
        <v>241595613.5200617</v>
      </c>
    </row>
    <row r="52" spans="2:11" x14ac:dyDescent="0.25">
      <c r="B52" s="1">
        <v>18942</v>
      </c>
      <c r="J52"/>
    </row>
    <row r="53" spans="2:11" x14ac:dyDescent="0.25">
      <c r="B53" s="1">
        <v>21069</v>
      </c>
      <c r="D53" s="1" t="s">
        <v>34</v>
      </c>
    </row>
    <row r="54" spans="2:11" x14ac:dyDescent="0.25">
      <c r="B54" s="1">
        <v>29187</v>
      </c>
    </row>
    <row r="55" spans="2:11" x14ac:dyDescent="0.25">
      <c r="B55" s="1">
        <v>22615</v>
      </c>
      <c r="H55" s="2"/>
    </row>
    <row r="56" spans="2:11" x14ac:dyDescent="0.25">
      <c r="B56" s="1">
        <v>34019</v>
      </c>
      <c r="H56" s="2"/>
    </row>
    <row r="57" spans="2:11" x14ac:dyDescent="0.25">
      <c r="B57" s="1">
        <v>23001</v>
      </c>
      <c r="H57" s="2"/>
    </row>
    <row r="58" spans="2:11" x14ac:dyDescent="0.25">
      <c r="B58" s="1">
        <v>23581</v>
      </c>
      <c r="H58" s="2"/>
    </row>
    <row r="59" spans="2:11" x14ac:dyDescent="0.25">
      <c r="B59" s="1">
        <v>22228</v>
      </c>
      <c r="H59" s="2"/>
    </row>
    <row r="60" spans="2:11" x14ac:dyDescent="0.25">
      <c r="B60" s="1">
        <v>33632</v>
      </c>
      <c r="H60" s="2"/>
    </row>
    <row r="61" spans="2:11" x14ac:dyDescent="0.25">
      <c r="B61" s="1">
        <v>26288</v>
      </c>
    </row>
    <row r="62" spans="2:11" x14ac:dyDescent="0.25">
      <c r="B62" s="1">
        <v>24161</v>
      </c>
    </row>
    <row r="63" spans="2:11" x14ac:dyDescent="0.25">
      <c r="B63" s="1">
        <v>18169</v>
      </c>
    </row>
    <row r="64" spans="2:11" x14ac:dyDescent="0.25">
      <c r="B64" s="1">
        <v>18169</v>
      </c>
    </row>
    <row r="65" spans="2:7" x14ac:dyDescent="0.25">
      <c r="B65" s="1">
        <v>18749</v>
      </c>
    </row>
    <row r="66" spans="2:7" x14ac:dyDescent="0.25">
      <c r="B66" s="1">
        <v>18749</v>
      </c>
    </row>
    <row r="71" spans="2:7" ht="15" customHeight="1" x14ac:dyDescent="0.25">
      <c r="D71" s="1" t="str">
        <f>J36</f>
        <v>Номер</v>
      </c>
      <c r="E71" s="1" t="str">
        <f>K36</f>
        <v>Интервал</v>
      </c>
      <c r="F71" s="1" t="str">
        <f>L36</f>
        <v>Середина интервала</v>
      </c>
      <c r="G71" s="1" t="str">
        <f>M36</f>
        <v xml:space="preserve">Частота </v>
      </c>
    </row>
    <row r="72" spans="2:7" ht="15" customHeight="1" x14ac:dyDescent="0.25">
      <c r="D72" s="1">
        <f>J37</f>
        <v>1</v>
      </c>
      <c r="E72" s="1" t="str">
        <f>K37</f>
        <v>[16 816; 19 683]</v>
      </c>
      <c r="F72" s="1">
        <f>L37</f>
        <v>18249.583333333336</v>
      </c>
      <c r="G72" s="1">
        <f>M37</f>
        <v>15</v>
      </c>
    </row>
    <row r="76" spans="2:7" ht="15" customHeight="1" x14ac:dyDescent="0.25">
      <c r="D76" s="1" t="s">
        <v>11</v>
      </c>
      <c r="E76" s="3" t="s">
        <v>33</v>
      </c>
    </row>
    <row r="77" spans="2:7" ht="15" customHeight="1" x14ac:dyDescent="0.25">
      <c r="D77" s="1">
        <f>M37</f>
        <v>15</v>
      </c>
      <c r="E77" s="1">
        <f>D77</f>
        <v>15</v>
      </c>
    </row>
    <row r="78" spans="2:7" ht="15" customHeight="1" x14ac:dyDescent="0.25">
      <c r="D78" s="1">
        <f>M38</f>
        <v>5</v>
      </c>
      <c r="E78" s="1">
        <f>SUM(D77:D78)</f>
        <v>20</v>
      </c>
    </row>
    <row r="79" spans="2:7" ht="15" customHeight="1" x14ac:dyDescent="0.25">
      <c r="D79" s="1">
        <f>M39</f>
        <v>5</v>
      </c>
      <c r="E79" s="1">
        <f>SUM(D77:D79)</f>
        <v>25</v>
      </c>
    </row>
    <row r="80" spans="2:7" ht="15" customHeight="1" x14ac:dyDescent="0.25">
      <c r="D80" s="1">
        <f>M40</f>
        <v>2</v>
      </c>
      <c r="E80" s="1">
        <f>SUM(D77:D80)</f>
        <v>27</v>
      </c>
    </row>
    <row r="81" spans="4:5" ht="15" customHeight="1" x14ac:dyDescent="0.25">
      <c r="D81" s="1">
        <f>M41</f>
        <v>1</v>
      </c>
      <c r="E81" s="1">
        <f>SUM(D77:D81)</f>
        <v>28</v>
      </c>
    </row>
    <row r="82" spans="4:5" ht="15" customHeight="1" x14ac:dyDescent="0.25">
      <c r="D82" s="1">
        <f>M42</f>
        <v>2</v>
      </c>
      <c r="E82" s="1">
        <f>SUM(D77:D82)</f>
        <v>30</v>
      </c>
    </row>
    <row r="85" spans="4:5" ht="15" customHeight="1" x14ac:dyDescent="0.25">
      <c r="D85" s="1" t="s">
        <v>35</v>
      </c>
    </row>
  </sheetData>
  <pageMargins left="0.7" right="0.7" top="0.75" bottom="0.75" header="0.511811023622047" footer="0.511811023622047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bubsavage</dc:creator>
  <dc:description/>
  <cp:lastModifiedBy>bubsage</cp:lastModifiedBy>
  <cp:revision>5</cp:revision>
  <dcterms:created xsi:type="dcterms:W3CDTF">2026-02-09T09:05:31Z</dcterms:created>
  <dcterms:modified xsi:type="dcterms:W3CDTF">2026-02-12T17:24:42Z</dcterms:modified>
  <dc:language>ru-RU</dc:language>
</cp:coreProperties>
</file>
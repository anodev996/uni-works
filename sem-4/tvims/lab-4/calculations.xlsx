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-bubsage\220-tusur\uni-works\sem-4\tvims\lab-4\"/>
    </mc:Choice>
  </mc:AlternateContent>
  <xr:revisionPtr revIDLastSave="0" documentId="13_ncr:1_{DDD375FC-EBE6-4862-AE20-EE22BC72A28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  <sheet name="Лист2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1" i="1" l="1"/>
  <c r="K22" i="1"/>
  <c r="B62" i="1"/>
  <c r="G61" i="1"/>
  <c r="H72" i="1"/>
  <c r="G72" i="1"/>
  <c r="F72" i="1"/>
  <c r="H61" i="1"/>
  <c r="J72" i="1" s="1"/>
  <c r="E62" i="1"/>
  <c r="E63" i="1"/>
  <c r="E64" i="1"/>
  <c r="E65" i="1"/>
  <c r="E61" i="1"/>
  <c r="D62" i="1"/>
  <c r="D63" i="1"/>
  <c r="D64" i="1"/>
  <c r="D65" i="1"/>
  <c r="D61" i="1"/>
  <c r="I51" i="1"/>
  <c r="I52" i="1"/>
  <c r="I53" i="1"/>
  <c r="I54" i="1"/>
  <c r="I50" i="1"/>
  <c r="H51" i="1"/>
  <c r="C51" i="1"/>
  <c r="D51" i="1"/>
  <c r="E51" i="1"/>
  <c r="F51" i="1"/>
  <c r="G51" i="1"/>
  <c r="C52" i="1"/>
  <c r="H52" i="1" s="1"/>
  <c r="D52" i="1"/>
  <c r="E52" i="1"/>
  <c r="F52" i="1"/>
  <c r="G52" i="1"/>
  <c r="C53" i="1"/>
  <c r="H53" i="1" s="1"/>
  <c r="D53" i="1"/>
  <c r="E53" i="1"/>
  <c r="F53" i="1"/>
  <c r="G53" i="1"/>
  <c r="C54" i="1"/>
  <c r="D54" i="1"/>
  <c r="E54" i="1"/>
  <c r="H54" i="1" s="1"/>
  <c r="F54" i="1"/>
  <c r="G54" i="1"/>
  <c r="D50" i="1"/>
  <c r="E50" i="1"/>
  <c r="F50" i="1"/>
  <c r="G50" i="1"/>
  <c r="C50" i="1"/>
  <c r="H50" i="1" s="1"/>
  <c r="J55" i="1"/>
  <c r="H41" i="1"/>
  <c r="H30" i="1"/>
  <c r="E30" i="1"/>
  <c r="D41" i="1" s="1"/>
  <c r="B30" i="1"/>
  <c r="B35" i="1" s="1"/>
  <c r="B31" i="2"/>
  <c r="B41" i="1" l="1"/>
  <c r="F41" i="1" s="1"/>
  <c r="D22" i="1"/>
  <c r="I22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E19" i="1"/>
  <c r="E20" i="1"/>
  <c r="E21" i="1"/>
  <c r="E22" i="1"/>
  <c r="E18" i="1"/>
  <c r="B22" i="1"/>
  <c r="H8" i="1"/>
  <c r="H9" i="1"/>
  <c r="H4" i="1"/>
  <c r="H5" i="1"/>
  <c r="H6" i="1"/>
  <c r="H7" i="1"/>
</calcChain>
</file>

<file path=xl/sharedStrings.xml><?xml version="1.0" encoding="utf-8"?>
<sst xmlns="http://schemas.openxmlformats.org/spreadsheetml/2006/main" count="59" uniqueCount="53">
  <si>
    <t>вариант 9</t>
  </si>
  <si>
    <t>средние</t>
  </si>
  <si>
    <t>наблюдения</t>
  </si>
  <si>
    <t>уровни</t>
  </si>
  <si>
    <t>общее среднее</t>
  </si>
  <si>
    <t>Дисперсионный анализ</t>
  </si>
  <si>
    <t>Источник вариации</t>
  </si>
  <si>
    <t>SS</t>
  </si>
  <si>
    <t>df</t>
  </si>
  <si>
    <t>MS</t>
  </si>
  <si>
    <t>F</t>
  </si>
  <si>
    <t>P-Значение</t>
  </si>
  <si>
    <t>F критическое</t>
  </si>
  <si>
    <t>Между группами</t>
  </si>
  <si>
    <t>Внутри групп</t>
  </si>
  <si>
    <t>Итого</t>
  </si>
  <si>
    <t>x_ij ^2</t>
  </si>
  <si>
    <t>ПРОВЕРКА</t>
  </si>
  <si>
    <t>Классическая схема</t>
  </si>
  <si>
    <t>Критерий Крускала-Уоллеса</t>
  </si>
  <si>
    <t>средний ранг</t>
  </si>
  <si>
    <t>(Ri - R)</t>
  </si>
  <si>
    <t xml:space="preserve">R = </t>
  </si>
  <si>
    <t xml:space="preserve">r = </t>
  </si>
  <si>
    <t xml:space="preserve">k = </t>
  </si>
  <si>
    <t xml:space="preserve">n = </t>
  </si>
  <si>
    <t>первая связка</t>
  </si>
  <si>
    <t>ранг 5.5</t>
  </si>
  <si>
    <t>длина связки = 2</t>
  </si>
  <si>
    <t>ранг 7.5</t>
  </si>
  <si>
    <t>ранг 9.5</t>
  </si>
  <si>
    <t>ранг 11.5</t>
  </si>
  <si>
    <t>ранг 13.5</t>
  </si>
  <si>
    <t>ранг 15.5</t>
  </si>
  <si>
    <t>вторая связка</t>
  </si>
  <si>
    <t>третья связка</t>
  </si>
  <si>
    <t>четвертая связка</t>
  </si>
  <si>
    <t>пятая связка</t>
  </si>
  <si>
    <t>шестая связка</t>
  </si>
  <si>
    <t>K набл (базовое)</t>
  </si>
  <si>
    <t>K набл (итоговое)</t>
  </si>
  <si>
    <t>Однофакторный дисперсионный анализ</t>
  </si>
  <si>
    <t>ИТОГИ</t>
  </si>
  <si>
    <t>Группы</t>
  </si>
  <si>
    <t>Счет</t>
  </si>
  <si>
    <t>Сумма</t>
  </si>
  <si>
    <t>Среднее</t>
  </si>
  <si>
    <t>Дисперсия</t>
  </si>
  <si>
    <t>Строка 1</t>
  </si>
  <si>
    <t>Строка 2</t>
  </si>
  <si>
    <t>Строка 3</t>
  </si>
  <si>
    <t>Строка 4</t>
  </si>
  <si>
    <t>Строка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</si>
</sst>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charset val="1"/>
    </font>
    <font>
      <sz val="12"/>
      <color theme="1"/>
      <name val="Times New Roman"/>
      <family val="1"/>
    </font>
    <font>
      <i/>
      <sz val="11"/>
      <color theme="1"/>
      <name val="Calibri"/>
      <family val="2"/>
      <charset val="1"/>
    </font>
    <font>
      <b/>
      <sz val="2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  <xf numFmtId="11" fontId="0" fillId="0" borderId="0" xfId="0" applyNumberFormat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5" fontId="0" fillId="0" borderId="0" xfId="0" applyNumberFormat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applyFill="1" applyBorder="1" applyAlignment="1"/>
    <xf numFmtId="0" fontId="0" fillId="0" borderId="15" xfId="0" applyFill="1" applyBorder="1" applyAlignment="1"/>
    <xf numFmtId="0" fontId="2" fillId="0" borderId="16" xfId="0" applyFont="1" applyFill="1" applyBorder="1" applyAlignment="1">
      <alignment horizontal="center"/>
    </xf>
    <xf numFmtId="2" fontId="0" fillId="0" borderId="0" xfId="0" applyNumberForma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11206</xdr:colOff>
      <xdr:row>17</xdr:row>
      <xdr:rowOff>224118</xdr:rowOff>
    </xdr:from>
    <xdr:to>
      <xdr:col>1</xdr:col>
      <xdr:colOff>973111</xdr:colOff>
      <xdr:row>20</xdr:row>
      <xdr:rowOff>197678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7C7CB22-C6B4-4BFF-B767-039CFA428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735" y="4885765"/>
          <a:ext cx="961905" cy="8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1142857</xdr:colOff>
      <xdr:row>20</xdr:row>
      <xdr:rowOff>164036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9F0DA22-FFC1-23BE-E38F-556146F93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8588" y="4661647"/>
          <a:ext cx="1142857" cy="1038095"/>
        </a:xfrm>
        <a:prstGeom prst="rect">
          <a:avLst/>
        </a:prstGeom>
      </xdr:spPr>
    </xdr:pic>
    <xdr:clientData/>
  </xdr:twoCellAnchor>
  <xdr:twoCellAnchor editAs="oneCell">
    <xdr:from>
      <xdr:col>10</xdr:col>
      <xdr:colOff>123265</xdr:colOff>
      <xdr:row>17</xdr:row>
      <xdr:rowOff>0</xdr:rowOff>
    </xdr:from>
    <xdr:to>
      <xdr:col>10</xdr:col>
      <xdr:colOff>1342313</xdr:colOff>
      <xdr:row>20</xdr:row>
      <xdr:rowOff>21179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16977397-CDD5-1008-DD65-5E36C8016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18559" y="4661647"/>
          <a:ext cx="1219048" cy="8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3</xdr:col>
      <xdr:colOff>278084</xdr:colOff>
      <xdr:row>27</xdr:row>
      <xdr:rowOff>103009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692DAC8-0464-CF3A-B0F9-FF8A0618A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9529" y="6992471"/>
          <a:ext cx="3057143" cy="6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1277138</xdr:colOff>
      <xdr:row>27</xdr:row>
      <xdr:rowOff>179200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D808423-FD28-D9C1-26B9-ED45C2DBC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58118" y="6992471"/>
          <a:ext cx="2666667" cy="7619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1362852</xdr:colOff>
      <xdr:row>27</xdr:row>
      <xdr:rowOff>245866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9B9B94F7-2170-E825-3044-230F1CF0C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26706" y="6992471"/>
          <a:ext cx="2752381" cy="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946</xdr:colOff>
      <xdr:row>33</xdr:row>
      <xdr:rowOff>137218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F93A7EE2-7982-A6CC-90D0-8905E0276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9529" y="9323294"/>
          <a:ext cx="1390476" cy="4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1171429</xdr:colOff>
      <xdr:row>39</xdr:row>
      <xdr:rowOff>198246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E54ACCB4-B8C3-CE16-C3D4-36C5172AC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9529" y="10780059"/>
          <a:ext cx="1171429" cy="7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1085714</xdr:colOff>
      <xdr:row>39</xdr:row>
      <xdr:rowOff>150627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82442265-C4A8-19B2-AB4E-51C693939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68588" y="10780059"/>
          <a:ext cx="1085714" cy="73333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1085714</xdr:colOff>
      <xdr:row>39</xdr:row>
      <xdr:rowOff>103008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876285AC-7308-8BAF-CAEC-E57DF71DD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47647" y="10780059"/>
          <a:ext cx="1085714" cy="68571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267614</xdr:colOff>
      <xdr:row>38</xdr:row>
      <xdr:rowOff>266667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7FA19005-049B-41A5-BE10-54AAB73BD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726706" y="11071412"/>
          <a:ext cx="1657143" cy="2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104775</xdr:rowOff>
    </xdr:from>
    <xdr:to>
      <xdr:col>3</xdr:col>
      <xdr:colOff>513938</xdr:colOff>
      <xdr:row>57</xdr:row>
      <xdr:rowOff>247558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810EF51-25F1-FEC9-787C-4C4BF008E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90650" y="16344900"/>
          <a:ext cx="3295238" cy="7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58</xdr:row>
      <xdr:rowOff>104775</xdr:rowOff>
    </xdr:from>
    <xdr:to>
      <xdr:col>1</xdr:col>
      <xdr:colOff>1000004</xdr:colOff>
      <xdr:row>60</xdr:row>
      <xdr:rowOff>161844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35D23BC-CE9A-ED84-111E-74BC8D99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19225" y="17230725"/>
          <a:ext cx="971429" cy="6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58</xdr:row>
      <xdr:rowOff>114300</xdr:rowOff>
    </xdr:from>
    <xdr:to>
      <xdr:col>3</xdr:col>
      <xdr:colOff>1076214</xdr:colOff>
      <xdr:row>59</xdr:row>
      <xdr:rowOff>247596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E8C7779-D22E-DC68-CCF5-B3D7127A4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362450" y="17240250"/>
          <a:ext cx="885714" cy="4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68</xdr:row>
      <xdr:rowOff>0</xdr:rowOff>
    </xdr:from>
    <xdr:to>
      <xdr:col>3</xdr:col>
      <xdr:colOff>56799</xdr:colOff>
      <xdr:row>70</xdr:row>
      <xdr:rowOff>104688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B0EFE674-AD81-B7BB-E616-71A50E5B2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19225" y="20078700"/>
          <a:ext cx="2809524" cy="69523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68</xdr:row>
      <xdr:rowOff>19050</xdr:rowOff>
    </xdr:from>
    <xdr:to>
      <xdr:col>5</xdr:col>
      <xdr:colOff>914298</xdr:colOff>
      <xdr:row>70</xdr:row>
      <xdr:rowOff>95167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896C9F28-D407-DC31-EC7D-734EF1A0B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48500" y="20097750"/>
          <a:ext cx="819048" cy="666667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68</xdr:row>
      <xdr:rowOff>38100</xdr:rowOff>
    </xdr:from>
    <xdr:to>
      <xdr:col>6</xdr:col>
      <xdr:colOff>990533</xdr:colOff>
      <xdr:row>70</xdr:row>
      <xdr:rowOff>57074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6D6AEFD7-C603-865C-40F3-F7C7CBB2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801100" y="20116800"/>
          <a:ext cx="533333" cy="609524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68</xdr:row>
      <xdr:rowOff>38100</xdr:rowOff>
    </xdr:from>
    <xdr:to>
      <xdr:col>8</xdr:col>
      <xdr:colOff>580802</xdr:colOff>
      <xdr:row>70</xdr:row>
      <xdr:rowOff>152312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92F79A5F-F642-9F62-7D87-87079D260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925050" y="20116800"/>
          <a:ext cx="1780952" cy="7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58</xdr:row>
      <xdr:rowOff>209550</xdr:rowOff>
    </xdr:from>
    <xdr:to>
      <xdr:col>2</xdr:col>
      <xdr:colOff>866739</xdr:colOff>
      <xdr:row>59</xdr:row>
      <xdr:rowOff>238085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BDB24FD0-505F-6060-6777-F162A20CC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62325" y="17335500"/>
          <a:ext cx="285714" cy="323810"/>
        </a:xfrm>
        <a:prstGeom prst="rect">
          <a:avLst/>
        </a:prstGeom>
      </xdr:spPr>
    </xdr:pic>
    <xdr:clientData/>
  </xdr:twoCellAnchor>
  <xdr:twoCellAnchor editAs="oneCell">
    <xdr:from>
      <xdr:col>5</xdr:col>
      <xdr:colOff>1200150</xdr:colOff>
      <xdr:row>57</xdr:row>
      <xdr:rowOff>9525</xdr:rowOff>
    </xdr:from>
    <xdr:to>
      <xdr:col>6</xdr:col>
      <xdr:colOff>1247595</xdr:colOff>
      <xdr:row>59</xdr:row>
      <xdr:rowOff>218975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6B8B62B-398C-A870-FA13-F99967062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153400" y="16840200"/>
          <a:ext cx="1438095" cy="8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58</xdr:row>
      <xdr:rowOff>190500</xdr:rowOff>
    </xdr:from>
    <xdr:to>
      <xdr:col>4</xdr:col>
      <xdr:colOff>1361927</xdr:colOff>
      <xdr:row>59</xdr:row>
      <xdr:rowOff>257130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DB5CE5CE-6B7D-94FB-DB19-F57C8F0C4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43575" y="17316450"/>
          <a:ext cx="1180952" cy="3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1352550</xdr:colOff>
      <xdr:row>78</xdr:row>
      <xdr:rowOff>161925</xdr:rowOff>
    </xdr:from>
    <xdr:to>
      <xdr:col>2</xdr:col>
      <xdr:colOff>9345</xdr:colOff>
      <xdr:row>79</xdr:row>
      <xdr:rowOff>238079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206F8E58-5F3E-2CB7-7BF0-A1EA4B411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52550" y="23193375"/>
          <a:ext cx="1438095" cy="3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4</xdr:col>
      <xdr:colOff>618649</xdr:colOff>
      <xdr:row>28</xdr:row>
      <xdr:rowOff>123738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7FBF95-885F-22EE-F6C1-A3668A9CC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1924050"/>
          <a:ext cx="3809524" cy="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topLeftCell="A10" zoomScale="85" zoomScaleNormal="85" workbookViewId="0">
      <selection activeCell="I30" sqref="I30"/>
    </sheetView>
  </sheetViews>
  <sheetFormatPr defaultColWidth="20.85546875" defaultRowHeight="23.25" customHeight="1" x14ac:dyDescent="0.25"/>
  <cols>
    <col min="1" max="16384" width="20.85546875" style="2"/>
  </cols>
  <sheetData>
    <row r="1" spans="1:9" ht="23.25" customHeight="1" x14ac:dyDescent="0.25">
      <c r="A1" s="2" t="s">
        <v>0</v>
      </c>
    </row>
    <row r="2" spans="1:9" ht="23.25" customHeight="1" x14ac:dyDescent="0.25">
      <c r="B2" s="15"/>
      <c r="C2" s="40" t="s">
        <v>2</v>
      </c>
      <c r="D2" s="41"/>
      <c r="E2" s="41"/>
      <c r="F2" s="41"/>
      <c r="G2" s="42"/>
      <c r="H2" s="15"/>
    </row>
    <row r="3" spans="1:9" ht="23.25" customHeight="1" x14ac:dyDescent="0.25">
      <c r="B3" s="16" t="s">
        <v>3</v>
      </c>
      <c r="C3" s="13">
        <v>1</v>
      </c>
      <c r="D3" s="13">
        <v>2</v>
      </c>
      <c r="E3" s="13">
        <v>3</v>
      </c>
      <c r="F3" s="13">
        <v>4</v>
      </c>
      <c r="G3" s="17">
        <v>5</v>
      </c>
      <c r="H3" s="18" t="s">
        <v>1</v>
      </c>
    </row>
    <row r="4" spans="1:9" ht="23.25" customHeight="1" x14ac:dyDescent="0.25">
      <c r="B4" s="16">
        <v>1</v>
      </c>
      <c r="C4" s="14">
        <v>53</v>
      </c>
      <c r="D4" s="14">
        <v>52</v>
      </c>
      <c r="E4" s="14">
        <v>46</v>
      </c>
      <c r="F4" s="14">
        <v>49</v>
      </c>
      <c r="G4" s="19">
        <v>48</v>
      </c>
      <c r="H4" s="16">
        <f>AVERAGE(C4:G4)</f>
        <v>49.6</v>
      </c>
    </row>
    <row r="5" spans="1:9" ht="23.25" customHeight="1" x14ac:dyDescent="0.25">
      <c r="B5" s="16">
        <v>2</v>
      </c>
      <c r="C5" s="14">
        <v>49</v>
      </c>
      <c r="D5" s="14">
        <v>55</v>
      </c>
      <c r="E5" s="14">
        <v>38</v>
      </c>
      <c r="F5" s="14">
        <v>47</v>
      </c>
      <c r="G5" s="19">
        <v>46</v>
      </c>
      <c r="H5" s="16">
        <f t="shared" ref="H5:H7" si="0">AVERAGE(C5:G5)</f>
        <v>47</v>
      </c>
    </row>
    <row r="6" spans="1:9" ht="23.25" customHeight="1" x14ac:dyDescent="0.25">
      <c r="B6" s="16">
        <v>3</v>
      </c>
      <c r="C6" s="14">
        <v>48</v>
      </c>
      <c r="D6" s="14">
        <v>50</v>
      </c>
      <c r="E6" s="14">
        <v>51</v>
      </c>
      <c r="F6" s="14">
        <v>54</v>
      </c>
      <c r="G6" s="19">
        <v>52</v>
      </c>
      <c r="H6" s="16">
        <f t="shared" si="0"/>
        <v>51</v>
      </c>
    </row>
    <row r="7" spans="1:9" ht="23.25" customHeight="1" x14ac:dyDescent="0.25">
      <c r="B7" s="16">
        <v>4</v>
      </c>
      <c r="C7" s="14">
        <v>44</v>
      </c>
      <c r="D7" s="14">
        <v>47</v>
      </c>
      <c r="E7" s="14">
        <v>43</v>
      </c>
      <c r="F7" s="14">
        <v>41</v>
      </c>
      <c r="G7" s="19">
        <v>50</v>
      </c>
      <c r="H7" s="16">
        <f t="shared" si="0"/>
        <v>45</v>
      </c>
    </row>
    <row r="8" spans="1:9" ht="23.25" customHeight="1" x14ac:dyDescent="0.25">
      <c r="B8" s="16">
        <v>5</v>
      </c>
      <c r="C8" s="13">
        <v>53</v>
      </c>
      <c r="D8" s="13">
        <v>58</v>
      </c>
      <c r="E8" s="13">
        <v>52</v>
      </c>
      <c r="F8" s="13">
        <v>51</v>
      </c>
      <c r="G8" s="17">
        <v>53</v>
      </c>
      <c r="H8" s="16">
        <f>AVERAGE(C8:G8)</f>
        <v>53.4</v>
      </c>
    </row>
    <row r="9" spans="1:9" ht="23.25" customHeight="1" x14ac:dyDescent="0.25">
      <c r="B9" s="18"/>
      <c r="C9" s="33"/>
      <c r="D9" s="34"/>
      <c r="E9" s="34"/>
      <c r="F9" s="34"/>
      <c r="G9" s="34" t="s">
        <v>4</v>
      </c>
      <c r="H9" s="35">
        <f>AVERAGE(H4:H8)</f>
        <v>49.2</v>
      </c>
    </row>
    <row r="12" spans="1:9" ht="23.25" customHeight="1" x14ac:dyDescent="0.25">
      <c r="B12" s="30" t="s">
        <v>23</v>
      </c>
      <c r="C12" s="2">
        <v>5</v>
      </c>
    </row>
    <row r="13" spans="1:9" ht="23.25" customHeight="1" x14ac:dyDescent="0.25">
      <c r="B13" s="30" t="s">
        <v>24</v>
      </c>
      <c r="C13" s="2">
        <v>5</v>
      </c>
    </row>
    <row r="14" spans="1:9" ht="23.25" customHeight="1" x14ac:dyDescent="0.25">
      <c r="B14" s="30" t="s">
        <v>25</v>
      </c>
      <c r="C14" s="2">
        <v>25</v>
      </c>
    </row>
    <row r="15" spans="1:9" ht="23.25" customHeight="1" x14ac:dyDescent="0.25">
      <c r="B15" s="44" t="s">
        <v>18</v>
      </c>
      <c r="C15" s="44"/>
      <c r="D15" s="44"/>
      <c r="E15" s="44"/>
      <c r="F15" s="44"/>
      <c r="G15" s="44"/>
      <c r="H15" s="44"/>
      <c r="I15" s="44"/>
    </row>
    <row r="17" spans="2:11" ht="23.25" customHeight="1" x14ac:dyDescent="0.25">
      <c r="C17"/>
      <c r="D17"/>
      <c r="E17" s="43" t="s">
        <v>16</v>
      </c>
      <c r="F17" s="43"/>
      <c r="G17" s="43"/>
      <c r="H17" s="43"/>
      <c r="I17" s="43"/>
    </row>
    <row r="18" spans="2:11" ht="23.25" customHeight="1" x14ac:dyDescent="0.25">
      <c r="C18"/>
      <c r="D18"/>
      <c r="E18" s="4">
        <f t="shared" ref="E18:I22" si="1">C4^2</f>
        <v>2809</v>
      </c>
      <c r="F18" s="5">
        <f t="shared" si="1"/>
        <v>2704</v>
      </c>
      <c r="G18" s="5">
        <f t="shared" si="1"/>
        <v>2116</v>
      </c>
      <c r="H18" s="5">
        <f t="shared" si="1"/>
        <v>2401</v>
      </c>
      <c r="I18" s="6">
        <f t="shared" si="1"/>
        <v>2304</v>
      </c>
    </row>
    <row r="19" spans="2:11" ht="23.25" customHeight="1" x14ac:dyDescent="0.25">
      <c r="C19"/>
      <c r="D19"/>
      <c r="E19" s="7">
        <f t="shared" si="1"/>
        <v>2401</v>
      </c>
      <c r="F19" s="8">
        <f t="shared" si="1"/>
        <v>3025</v>
      </c>
      <c r="G19" s="8">
        <f t="shared" si="1"/>
        <v>1444</v>
      </c>
      <c r="H19" s="8">
        <f t="shared" si="1"/>
        <v>2209</v>
      </c>
      <c r="I19" s="9">
        <f t="shared" si="1"/>
        <v>2116</v>
      </c>
    </row>
    <row r="20" spans="2:11" ht="23.25" customHeight="1" x14ac:dyDescent="0.25">
      <c r="C20"/>
      <c r="D20"/>
      <c r="E20" s="7">
        <f t="shared" si="1"/>
        <v>2304</v>
      </c>
      <c r="F20" s="8">
        <f t="shared" si="1"/>
        <v>2500</v>
      </c>
      <c r="G20" s="8">
        <f t="shared" si="1"/>
        <v>2601</v>
      </c>
      <c r="H20" s="8">
        <f t="shared" si="1"/>
        <v>2916</v>
      </c>
      <c r="I20" s="9">
        <f t="shared" si="1"/>
        <v>2704</v>
      </c>
    </row>
    <row r="21" spans="2:11" ht="23.25" customHeight="1" x14ac:dyDescent="0.25">
      <c r="C21"/>
      <c r="D21"/>
      <c r="E21" s="7">
        <f t="shared" si="1"/>
        <v>1936</v>
      </c>
      <c r="F21" s="8">
        <f t="shared" si="1"/>
        <v>2209</v>
      </c>
      <c r="G21" s="8">
        <f t="shared" si="1"/>
        <v>1849</v>
      </c>
      <c r="H21" s="8">
        <f t="shared" si="1"/>
        <v>1681</v>
      </c>
      <c r="I21" s="9">
        <f t="shared" si="1"/>
        <v>2500</v>
      </c>
    </row>
    <row r="22" spans="2:11" ht="23.25" customHeight="1" x14ac:dyDescent="0.25">
      <c r="B22" s="2">
        <f>SUM(C4:G4, C5:G5,C6:G6,C7:G7,C8:G8)</f>
        <v>1230</v>
      </c>
      <c r="C22"/>
      <c r="D22" s="2">
        <f>SUM(E18:I18,E19:I19,E20:I20,E21:I21,E22:I22)</f>
        <v>61016</v>
      </c>
      <c r="E22" s="10">
        <f t="shared" si="1"/>
        <v>2809</v>
      </c>
      <c r="F22" s="11">
        <f t="shared" si="1"/>
        <v>3364</v>
      </c>
      <c r="G22" s="11">
        <f t="shared" si="1"/>
        <v>2704</v>
      </c>
      <c r="H22" s="11">
        <f t="shared" si="1"/>
        <v>2601</v>
      </c>
      <c r="I22" s="12">
        <f t="shared" si="1"/>
        <v>2809</v>
      </c>
      <c r="K22" s="2">
        <f>SUM(C4:G4)^2 + SUM(C5:G5)^2 + SUM(C6:G6)^2 + SUM(C7:G7)^2 + SUM(C8:G8)^2</f>
        <v>303668</v>
      </c>
    </row>
    <row r="23" spans="2:11" ht="23.25" customHeight="1" x14ac:dyDescent="0.25">
      <c r="C23"/>
      <c r="D23"/>
      <c r="E23"/>
      <c r="F23"/>
      <c r="G23"/>
      <c r="H23"/>
      <c r="I23"/>
    </row>
    <row r="24" spans="2:11" ht="23.25" customHeight="1" x14ac:dyDescent="0.25">
      <c r="C24"/>
      <c r="D24"/>
      <c r="E24"/>
      <c r="F24"/>
      <c r="G24"/>
      <c r="H24"/>
      <c r="I24"/>
    </row>
    <row r="25" spans="2:11" ht="23.25" customHeight="1" x14ac:dyDescent="0.25">
      <c r="C25"/>
      <c r="D25"/>
      <c r="E25"/>
      <c r="F25"/>
      <c r="G25"/>
      <c r="H25"/>
      <c r="I25"/>
    </row>
    <row r="26" spans="2:11" ht="23.25" customHeight="1" x14ac:dyDescent="0.25">
      <c r="C26"/>
      <c r="D26"/>
      <c r="E26"/>
      <c r="F26"/>
      <c r="G26"/>
      <c r="H26"/>
      <c r="I26"/>
    </row>
    <row r="30" spans="2:11" ht="23.25" customHeight="1" x14ac:dyDescent="0.25">
      <c r="B30" s="36">
        <f>K22/5 - (B22^2)/25</f>
        <v>217.59999999999854</v>
      </c>
      <c r="E30" s="36">
        <f>D22 - K22/5</f>
        <v>282.40000000000146</v>
      </c>
      <c r="H30" s="2">
        <f>D22 - (B22^2)/25</f>
        <v>500</v>
      </c>
    </row>
    <row r="35" spans="2:10" ht="23.25" customHeight="1" x14ac:dyDescent="0.25">
      <c r="B35" s="2">
        <f>B30 + E30</f>
        <v>500</v>
      </c>
    </row>
    <row r="41" spans="2:10" ht="23.25" customHeight="1" x14ac:dyDescent="0.25">
      <c r="B41" s="36">
        <f>B30 / (C12 - 1)</f>
        <v>54.399999999999636</v>
      </c>
      <c r="D41" s="2">
        <f>E30 / (C14 - C12)</f>
        <v>14.120000000000072</v>
      </c>
      <c r="F41" s="1">
        <f>B41 / D41</f>
        <v>3.8526912181302664</v>
      </c>
      <c r="H41" s="1">
        <f>FINV(0.05, 4, 20)</f>
        <v>2.8660814020156589</v>
      </c>
    </row>
    <row r="44" spans="2:10" ht="23.25" customHeight="1" x14ac:dyDescent="0.25">
      <c r="J44"/>
    </row>
    <row r="45" spans="2:10" ht="23.25" customHeight="1" x14ac:dyDescent="0.25">
      <c r="J45"/>
    </row>
    <row r="46" spans="2:10" ht="23.25" customHeight="1" x14ac:dyDescent="0.25">
      <c r="B46" s="44" t="s">
        <v>19</v>
      </c>
      <c r="C46" s="44"/>
      <c r="D46" s="44"/>
      <c r="E46" s="44"/>
      <c r="F46" s="44"/>
      <c r="G46" s="44"/>
      <c r="H46" s="44"/>
      <c r="I46" s="44"/>
      <c r="J46"/>
    </row>
    <row r="47" spans="2:10" ht="23.25" customHeight="1" x14ac:dyDescent="0.25">
      <c r="D47"/>
      <c r="E47"/>
      <c r="F47"/>
      <c r="J47"/>
    </row>
    <row r="48" spans="2:10" ht="23.25" customHeight="1" x14ac:dyDescent="0.25">
      <c r="B48" s="20"/>
      <c r="C48" s="37" t="s">
        <v>2</v>
      </c>
      <c r="D48" s="38"/>
      <c r="E48" s="38"/>
      <c r="F48" s="38"/>
      <c r="G48" s="39"/>
      <c r="H48" s="20"/>
      <c r="I48" s="20"/>
      <c r="J48"/>
    </row>
    <row r="49" spans="2:10" ht="23.25" customHeight="1" x14ac:dyDescent="0.25">
      <c r="B49" s="25"/>
      <c r="C49" s="23">
        <v>1</v>
      </c>
      <c r="D49" s="23">
        <v>2</v>
      </c>
      <c r="E49" s="23">
        <v>3</v>
      </c>
      <c r="F49" s="23">
        <v>4</v>
      </c>
      <c r="G49" s="24">
        <v>5</v>
      </c>
      <c r="H49" s="25" t="s">
        <v>20</v>
      </c>
      <c r="I49" s="22" t="s">
        <v>21</v>
      </c>
      <c r="J49"/>
    </row>
    <row r="50" spans="2:10" ht="23.25" customHeight="1" x14ac:dyDescent="0.25">
      <c r="B50" s="22">
        <v>1</v>
      </c>
      <c r="C50" s="21">
        <f>_xlfn.RANK.AVG(C4, $C$4:$G$8, 1)</f>
        <v>21</v>
      </c>
      <c r="D50" s="21">
        <f t="shared" ref="D50:G50" si="2">_xlfn.RANK.AVG(D4, $C$4:$G$8, 1)</f>
        <v>18</v>
      </c>
      <c r="E50" s="21">
        <f t="shared" si="2"/>
        <v>5.5</v>
      </c>
      <c r="F50" s="21">
        <f t="shared" si="2"/>
        <v>11.5</v>
      </c>
      <c r="G50" s="21">
        <f t="shared" si="2"/>
        <v>9.5</v>
      </c>
      <c r="H50" s="29">
        <f>AVERAGE(C50:G50)</f>
        <v>13.1</v>
      </c>
      <c r="I50" s="20">
        <f>H50 - $J$55</f>
        <v>9.9999999999999645E-2</v>
      </c>
      <c r="J50"/>
    </row>
    <row r="51" spans="2:10" ht="23.25" customHeight="1" x14ac:dyDescent="0.25">
      <c r="B51" s="22">
        <v>2</v>
      </c>
      <c r="C51" s="21">
        <f t="shared" ref="C51:G51" si="3">_xlfn.RANK.AVG(C5, $C$4:$G$8, 1)</f>
        <v>11.5</v>
      </c>
      <c r="D51" s="21">
        <f t="shared" si="3"/>
        <v>24</v>
      </c>
      <c r="E51" s="21">
        <f t="shared" si="3"/>
        <v>1</v>
      </c>
      <c r="F51" s="21">
        <f t="shared" si="3"/>
        <v>7.5</v>
      </c>
      <c r="G51" s="21">
        <f t="shared" si="3"/>
        <v>5.5</v>
      </c>
      <c r="H51" s="29">
        <f>AVERAGE(C51:G51)</f>
        <v>9.9</v>
      </c>
      <c r="I51" s="22">
        <f t="shared" ref="I51:I54" si="4">H51 - $J$55</f>
        <v>-3.0999999999999996</v>
      </c>
      <c r="J51"/>
    </row>
    <row r="52" spans="2:10" ht="23.25" customHeight="1" x14ac:dyDescent="0.25">
      <c r="B52" s="22">
        <v>3</v>
      </c>
      <c r="C52" s="21">
        <f t="shared" ref="C52:G52" si="5">_xlfn.RANK.AVG(C6, $C$4:$G$8, 1)</f>
        <v>9.5</v>
      </c>
      <c r="D52" s="21">
        <f t="shared" si="5"/>
        <v>13.5</v>
      </c>
      <c r="E52" s="21">
        <f t="shared" si="5"/>
        <v>15.5</v>
      </c>
      <c r="F52" s="21">
        <f t="shared" si="5"/>
        <v>23</v>
      </c>
      <c r="G52" s="21">
        <f t="shared" si="5"/>
        <v>18</v>
      </c>
      <c r="H52" s="29">
        <f t="shared" ref="H52:H54" si="6">AVERAGE(C52:G52)</f>
        <v>15.9</v>
      </c>
      <c r="I52" s="22">
        <f t="shared" si="4"/>
        <v>2.9000000000000004</v>
      </c>
      <c r="J52"/>
    </row>
    <row r="53" spans="2:10" ht="23.25" customHeight="1" x14ac:dyDescent="0.25">
      <c r="B53" s="22">
        <v>4</v>
      </c>
      <c r="C53" s="21">
        <f t="shared" ref="C53:G53" si="7">_xlfn.RANK.AVG(C7, $C$4:$G$8, 1)</f>
        <v>4</v>
      </c>
      <c r="D53" s="21">
        <f t="shared" si="7"/>
        <v>7.5</v>
      </c>
      <c r="E53" s="21">
        <f t="shared" si="7"/>
        <v>3</v>
      </c>
      <c r="F53" s="21">
        <f t="shared" si="7"/>
        <v>2</v>
      </c>
      <c r="G53" s="21">
        <f t="shared" si="7"/>
        <v>13.5</v>
      </c>
      <c r="H53" s="29">
        <f t="shared" si="6"/>
        <v>6</v>
      </c>
      <c r="I53" s="22">
        <f t="shared" si="4"/>
        <v>-7</v>
      </c>
    </row>
    <row r="54" spans="2:10" ht="23.25" customHeight="1" x14ac:dyDescent="0.25">
      <c r="B54" s="25">
        <v>5</v>
      </c>
      <c r="C54" s="26">
        <f t="shared" ref="C54:G54" si="8">_xlfn.RANK.AVG(C8, $C$4:$G$8, 1)</f>
        <v>21</v>
      </c>
      <c r="D54" s="23">
        <f t="shared" si="8"/>
        <v>25</v>
      </c>
      <c r="E54" s="23">
        <f t="shared" si="8"/>
        <v>18</v>
      </c>
      <c r="F54" s="23">
        <f t="shared" si="8"/>
        <v>15.5</v>
      </c>
      <c r="G54" s="24">
        <f t="shared" si="8"/>
        <v>21</v>
      </c>
      <c r="H54" s="26">
        <f t="shared" si="6"/>
        <v>20.100000000000001</v>
      </c>
      <c r="I54" s="25">
        <f t="shared" si="4"/>
        <v>7.1000000000000014</v>
      </c>
    </row>
    <row r="55" spans="2:10" ht="23.25" customHeight="1" x14ac:dyDescent="0.25">
      <c r="B55"/>
      <c r="C55"/>
      <c r="D55"/>
      <c r="E55"/>
      <c r="F55"/>
      <c r="G55"/>
      <c r="I55" s="28" t="s">
        <v>22</v>
      </c>
      <c r="J55" s="27">
        <f>(C14 + 1) / 2</f>
        <v>13</v>
      </c>
    </row>
    <row r="60" spans="2:10" ht="23.25" customHeight="1" x14ac:dyDescent="0.25">
      <c r="H60" s="2" t="s">
        <v>39</v>
      </c>
    </row>
    <row r="61" spans="2:10" ht="23.25" customHeight="1" x14ac:dyDescent="0.25">
      <c r="C61" s="14">
        <v>5</v>
      </c>
      <c r="D61" s="2">
        <f>I50^2</f>
        <v>9.9999999999999291E-3</v>
      </c>
      <c r="E61" s="2">
        <f>C61*D61</f>
        <v>4.9999999999999642E-2</v>
      </c>
      <c r="G61" s="2">
        <f>SUM(E61:E65)</f>
        <v>587.20000000000005</v>
      </c>
      <c r="H61" s="1">
        <f>B62 * G61</f>
        <v>10.840615384615386</v>
      </c>
    </row>
    <row r="62" spans="2:10" ht="23.25" customHeight="1" x14ac:dyDescent="0.25">
      <c r="B62" s="1">
        <f xml:space="preserve"> 12 / (C14 * (C14 + 1))</f>
        <v>1.8461538461538463E-2</v>
      </c>
      <c r="C62" s="14">
        <v>5</v>
      </c>
      <c r="D62" s="2">
        <f t="shared" ref="D62:D65" si="9">I51^2</f>
        <v>9.6099999999999977</v>
      </c>
      <c r="E62" s="2">
        <f>C62*D62</f>
        <v>48.04999999999999</v>
      </c>
    </row>
    <row r="63" spans="2:10" ht="23.25" customHeight="1" x14ac:dyDescent="0.25">
      <c r="C63" s="14">
        <v>5</v>
      </c>
      <c r="D63" s="2">
        <f t="shared" si="9"/>
        <v>8.4100000000000019</v>
      </c>
      <c r="E63" s="2">
        <f>C63*D63</f>
        <v>42.050000000000011</v>
      </c>
    </row>
    <row r="64" spans="2:10" ht="23.25" customHeight="1" x14ac:dyDescent="0.25">
      <c r="C64" s="14">
        <v>5</v>
      </c>
      <c r="D64" s="2">
        <f t="shared" si="9"/>
        <v>49</v>
      </c>
      <c r="E64" s="2">
        <f>C64*D64</f>
        <v>245</v>
      </c>
    </row>
    <row r="65" spans="2:10" ht="23.25" customHeight="1" x14ac:dyDescent="0.25">
      <c r="C65" s="14">
        <v>5</v>
      </c>
      <c r="D65" s="2">
        <f t="shared" si="9"/>
        <v>50.410000000000018</v>
      </c>
      <c r="E65" s="2">
        <f>C65*D65</f>
        <v>252.0500000000001</v>
      </c>
    </row>
    <row r="71" spans="2:10" ht="23.25" customHeight="1" x14ac:dyDescent="0.25">
      <c r="J71" s="2" t="s">
        <v>40</v>
      </c>
    </row>
    <row r="72" spans="2:10" ht="23.25" customHeight="1" x14ac:dyDescent="0.25">
      <c r="B72" s="2" t="s">
        <v>26</v>
      </c>
      <c r="C72" s="2" t="s">
        <v>27</v>
      </c>
      <c r="D72" s="2" t="s">
        <v>28</v>
      </c>
      <c r="F72" s="2">
        <f>((2^3) - 2) * 6</f>
        <v>36</v>
      </c>
      <c r="G72" s="32">
        <f>1/((C14^3) - C14)</f>
        <v>6.4102564102564103E-5</v>
      </c>
      <c r="H72" s="31">
        <f>(1 - F72 * G72)^(-1)</f>
        <v>1.002313030069391</v>
      </c>
      <c r="J72" s="1">
        <f>H61 * H72</f>
        <v>10.865690053970704</v>
      </c>
    </row>
    <row r="73" spans="2:10" ht="23.25" customHeight="1" x14ac:dyDescent="0.25">
      <c r="B73" s="2" t="s">
        <v>34</v>
      </c>
      <c r="C73" s="2" t="s">
        <v>29</v>
      </c>
      <c r="D73" s="2" t="s">
        <v>28</v>
      </c>
    </row>
    <row r="74" spans="2:10" ht="23.25" customHeight="1" x14ac:dyDescent="0.25">
      <c r="B74" s="2" t="s">
        <v>35</v>
      </c>
      <c r="C74" s="2" t="s">
        <v>30</v>
      </c>
      <c r="D74" s="2" t="s">
        <v>28</v>
      </c>
    </row>
    <row r="75" spans="2:10" ht="23.25" customHeight="1" x14ac:dyDescent="0.25">
      <c r="B75" s="2" t="s">
        <v>36</v>
      </c>
      <c r="C75" s="2" t="s">
        <v>31</v>
      </c>
      <c r="D75" s="2" t="s">
        <v>28</v>
      </c>
    </row>
    <row r="76" spans="2:10" ht="23.25" customHeight="1" x14ac:dyDescent="0.25">
      <c r="B76" s="2" t="s">
        <v>37</v>
      </c>
      <c r="C76" s="2" t="s">
        <v>32</v>
      </c>
      <c r="D76" s="2" t="s">
        <v>28</v>
      </c>
      <c r="E76" s="3"/>
    </row>
    <row r="77" spans="2:10" ht="23.25" customHeight="1" x14ac:dyDescent="0.25">
      <c r="B77" s="2" t="s">
        <v>38</v>
      </c>
      <c r="C77" s="2" t="s">
        <v>33</v>
      </c>
      <c r="D77" s="2" t="s">
        <v>28</v>
      </c>
    </row>
    <row r="81" spans="2:2" ht="23.25" customHeight="1" x14ac:dyDescent="0.25">
      <c r="B81" s="1">
        <f>_xlfn.CHISQ.INV.RT(0.05, 4)</f>
        <v>9.4877290367811575</v>
      </c>
    </row>
  </sheetData>
  <mergeCells count="5">
    <mergeCell ref="C48:G48"/>
    <mergeCell ref="C2:G2"/>
    <mergeCell ref="E17:I17"/>
    <mergeCell ref="B15:I15"/>
    <mergeCell ref="B46:I46"/>
  </mergeCells>
  <pageMargins left="0.7" right="0.7" top="0.75" bottom="0.75" header="0.511811023622047" footer="0.511811023622047"/>
  <pageSetup orientation="portrait" horizontalDpi="300" verticalDpi="300" r:id="rId1"/>
  <ignoredErrors>
    <ignoredError sqref="H4 H5:H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47B2-6CED-4E86-AA81-7957B3A4DA78}">
  <dimension ref="B2:I31"/>
  <sheetViews>
    <sheetView workbookViewId="0">
      <selection activeCell="H25" sqref="H25"/>
    </sheetView>
  </sheetViews>
  <sheetFormatPr defaultColWidth="14.140625" defaultRowHeight="15" x14ac:dyDescent="0.25"/>
  <cols>
    <col min="2" max="2" width="19.5703125" customWidth="1"/>
    <col min="8" max="8" width="16.7109375" bestFit="1" customWidth="1"/>
  </cols>
  <sheetData>
    <row r="2" spans="2:9" x14ac:dyDescent="0.25">
      <c r="B2" t="s">
        <v>41</v>
      </c>
      <c r="I2" s="2"/>
    </row>
    <row r="3" spans="2:9" x14ac:dyDescent="0.25">
      <c r="I3" s="2"/>
    </row>
    <row r="4" spans="2:9" ht="15.75" thickBot="1" x14ac:dyDescent="0.3">
      <c r="B4" t="s">
        <v>42</v>
      </c>
      <c r="I4" s="2"/>
    </row>
    <row r="5" spans="2:9" x14ac:dyDescent="0.25">
      <c r="B5" s="47" t="s">
        <v>43</v>
      </c>
      <c r="C5" s="47" t="s">
        <v>44</v>
      </c>
      <c r="D5" s="47" t="s">
        <v>45</v>
      </c>
      <c r="E5" s="47" t="s">
        <v>46</v>
      </c>
      <c r="F5" s="47" t="s">
        <v>47</v>
      </c>
      <c r="I5" s="2"/>
    </row>
    <row r="6" spans="2:9" x14ac:dyDescent="0.25">
      <c r="B6" s="45" t="s">
        <v>48</v>
      </c>
      <c r="C6" s="45">
        <v>5</v>
      </c>
      <c r="D6" s="45">
        <v>248</v>
      </c>
      <c r="E6" s="45">
        <v>49.6</v>
      </c>
      <c r="F6" s="45">
        <v>8.3000000000000007</v>
      </c>
      <c r="I6" s="2"/>
    </row>
    <row r="7" spans="2:9" x14ac:dyDescent="0.25">
      <c r="B7" s="45" t="s">
        <v>49</v>
      </c>
      <c r="C7" s="45">
        <v>5</v>
      </c>
      <c r="D7" s="45">
        <v>235</v>
      </c>
      <c r="E7" s="45">
        <v>47</v>
      </c>
      <c r="F7" s="45">
        <v>37.5</v>
      </c>
      <c r="I7" s="2"/>
    </row>
    <row r="8" spans="2:9" x14ac:dyDescent="0.25">
      <c r="B8" s="45" t="s">
        <v>50</v>
      </c>
      <c r="C8" s="45">
        <v>5</v>
      </c>
      <c r="D8" s="45">
        <v>255</v>
      </c>
      <c r="E8" s="45">
        <v>51</v>
      </c>
      <c r="F8" s="45">
        <v>5</v>
      </c>
      <c r="I8" s="2"/>
    </row>
    <row r="9" spans="2:9" x14ac:dyDescent="0.25">
      <c r="B9" s="45" t="s">
        <v>51</v>
      </c>
      <c r="C9" s="45">
        <v>5</v>
      </c>
      <c r="D9" s="45">
        <v>225</v>
      </c>
      <c r="E9" s="45">
        <v>45</v>
      </c>
      <c r="F9" s="45">
        <v>12.5</v>
      </c>
      <c r="I9" s="2"/>
    </row>
    <row r="10" spans="2:9" ht="15.75" thickBot="1" x14ac:dyDescent="0.3">
      <c r="B10" s="46" t="s">
        <v>52</v>
      </c>
      <c r="C10" s="46">
        <v>5</v>
      </c>
      <c r="D10" s="46">
        <v>267</v>
      </c>
      <c r="E10" s="46">
        <v>53.4</v>
      </c>
      <c r="F10" s="46">
        <v>7.3000000000000016</v>
      </c>
      <c r="I10" s="2"/>
    </row>
    <row r="11" spans="2:9" x14ac:dyDescent="0.25">
      <c r="I11" s="2"/>
    </row>
    <row r="12" spans="2:9" x14ac:dyDescent="0.25">
      <c r="I12" s="2"/>
    </row>
    <row r="13" spans="2:9" ht="15.75" thickBot="1" x14ac:dyDescent="0.3">
      <c r="B13" t="s">
        <v>5</v>
      </c>
      <c r="I13" s="2"/>
    </row>
    <row r="14" spans="2:9" x14ac:dyDescent="0.25">
      <c r="B14" s="47" t="s">
        <v>6</v>
      </c>
      <c r="C14" s="47" t="s">
        <v>7</v>
      </c>
      <c r="D14" s="47" t="s">
        <v>8</v>
      </c>
      <c r="E14" s="47" t="s">
        <v>9</v>
      </c>
      <c r="F14" s="47" t="s">
        <v>10</v>
      </c>
      <c r="G14" s="47" t="s">
        <v>11</v>
      </c>
      <c r="H14" s="47" t="s">
        <v>12</v>
      </c>
      <c r="I14" s="2"/>
    </row>
    <row r="15" spans="2:9" x14ac:dyDescent="0.25">
      <c r="B15" s="45" t="s">
        <v>13</v>
      </c>
      <c r="C15" s="45">
        <v>217.60000000000002</v>
      </c>
      <c r="D15" s="45">
        <v>4</v>
      </c>
      <c r="E15" s="45">
        <v>54.400000000000006</v>
      </c>
      <c r="F15" s="48">
        <v>3.8526912181303121</v>
      </c>
      <c r="G15" s="48">
        <v>1.7679215318327307E-2</v>
      </c>
      <c r="H15" s="48">
        <v>2.8660814020156589</v>
      </c>
      <c r="I15" s="2"/>
    </row>
    <row r="16" spans="2:9" x14ac:dyDescent="0.25">
      <c r="B16" s="45" t="s">
        <v>14</v>
      </c>
      <c r="C16" s="45">
        <v>282.39999999999998</v>
      </c>
      <c r="D16" s="45">
        <v>20</v>
      </c>
      <c r="E16" s="45">
        <v>14.12</v>
      </c>
      <c r="F16" s="45"/>
      <c r="G16" s="45"/>
      <c r="H16" s="45"/>
      <c r="I16" s="2"/>
    </row>
    <row r="17" spans="2:9" x14ac:dyDescent="0.25">
      <c r="B17" s="45"/>
      <c r="C17" s="45"/>
      <c r="D17" s="45"/>
      <c r="E17" s="45"/>
      <c r="F17" s="45"/>
      <c r="G17" s="45"/>
      <c r="H17" s="45"/>
      <c r="I17" s="2"/>
    </row>
    <row r="18" spans="2:9" ht="15.75" thickBot="1" x14ac:dyDescent="0.3">
      <c r="B18" s="46" t="s">
        <v>15</v>
      </c>
      <c r="C18" s="46">
        <v>500</v>
      </c>
      <c r="D18" s="46">
        <v>24</v>
      </c>
      <c r="E18" s="46"/>
      <c r="F18" s="46"/>
      <c r="G18" s="46"/>
      <c r="H18" s="46"/>
      <c r="I18" s="2"/>
    </row>
    <row r="19" spans="2:9" x14ac:dyDescent="0.25">
      <c r="B19" s="2"/>
      <c r="C19" s="2"/>
      <c r="D19" s="2"/>
      <c r="E19" s="2"/>
      <c r="F19" s="2"/>
      <c r="G19" s="2"/>
      <c r="H19" s="2"/>
      <c r="I19" s="2"/>
    </row>
    <row r="24" spans="2:9" x14ac:dyDescent="0.25">
      <c r="B24" t="s">
        <v>17</v>
      </c>
    </row>
    <row r="31" spans="2:9" x14ac:dyDescent="0.25">
      <c r="B31" s="1">
        <f>FINV(0.01, 3, 16)</f>
        <v>5.2922140455209483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bubsavage</dc:creator>
  <dc:description/>
  <cp:lastModifiedBy>bubsage</cp:lastModifiedBy>
  <cp:revision>5</cp:revision>
  <dcterms:created xsi:type="dcterms:W3CDTF">2026-02-09T09:05:31Z</dcterms:created>
  <dcterms:modified xsi:type="dcterms:W3CDTF">2026-04-16T23:13:42Z</dcterms:modified>
  <dc:language>ru-RU</dc:language>
</cp:coreProperties>
</file>
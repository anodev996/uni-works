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de\desktop-bubsage\220-tusur\github-abuse\tusur-sem-4-vichislitelnaya-matematika\lab-1\"/>
    </mc:Choice>
  </mc:AlternateContent>
  <xr:revisionPtr revIDLastSave="0" documentId="13_ncr:1_{1ABCFA17-F972-478E-87D2-7FC862449EF0}" xr6:coauthVersionLast="47" xr6:coauthVersionMax="47" xr10:uidLastSave="{00000000-0000-0000-0000-000000000000}"/>
  <bookViews>
    <workbookView xWindow="-120" yWindow="-120" windowWidth="20730" windowHeight="11310" xr2:uid="{A082C2B1-4F57-4B02-A337-E69A65FB0B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4" i="1"/>
  <c r="D4" i="1"/>
  <c r="D5" i="1" s="1"/>
  <c r="E6" i="1"/>
  <c r="E7" i="1"/>
  <c r="E8" i="1"/>
  <c r="E9" i="1"/>
  <c r="E10" i="1"/>
  <c r="E11" i="1"/>
  <c r="E12" i="1"/>
  <c r="E5" i="1"/>
  <c r="E4" i="1"/>
  <c r="F5" i="1" l="1"/>
  <c r="G5" i="1" s="1"/>
  <c r="D6" i="1"/>
  <c r="F4" i="1"/>
  <c r="G4" i="1" s="1"/>
  <c r="D7" i="1" l="1"/>
  <c r="F6" i="1"/>
  <c r="G6" i="1" s="1"/>
  <c r="D8" i="1" l="1"/>
  <c r="F7" i="1"/>
  <c r="G7" i="1" s="1"/>
  <c r="D9" i="1" l="1"/>
  <c r="F8" i="1"/>
  <c r="G8" i="1" s="1"/>
  <c r="D10" i="1" l="1"/>
  <c r="F9" i="1"/>
  <c r="G9" i="1" s="1"/>
  <c r="D11" i="1" l="1"/>
  <c r="F10" i="1"/>
  <c r="G10" i="1" s="1"/>
  <c r="D12" i="1" l="1"/>
  <c r="F12" i="1" s="1"/>
  <c r="G12" i="1" s="1"/>
  <c r="F11" i="1"/>
  <c r="G11" i="1" s="1"/>
</calcChain>
</file>

<file path=xl/sharedStrings.xml><?xml version="1.0" encoding="utf-8"?>
<sst xmlns="http://schemas.openxmlformats.org/spreadsheetml/2006/main" count="16" uniqueCount="14">
  <si>
    <t>n = -1</t>
  </si>
  <si>
    <t>k = 4</t>
  </si>
  <si>
    <t>k = 3</t>
  </si>
  <si>
    <t>n = 0</t>
  </si>
  <si>
    <t>k = 2</t>
  </si>
  <si>
    <t>k = 1</t>
  </si>
  <si>
    <t>x</t>
  </si>
  <si>
    <t>y</t>
  </si>
  <si>
    <t>z</t>
  </si>
  <si>
    <t>δz</t>
  </si>
  <si>
    <t>Δz</t>
  </si>
  <si>
    <t>Δy</t>
  </si>
  <si>
    <t>Δx</t>
  </si>
  <si>
    <t>Вариант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</si>
</sst>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6" fontId="0" fillId="0" borderId="0" xfId="0" quotePrefix="1" applyNumberFormat="1" applyAlignment="1">
      <alignment horizontal="center" vertical="center"/>
    </xf>
    <xf numFmtId="166" fontId="1" fillId="0" borderId="0" xfId="0" quotePrefix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6" fontId="4" fillId="0" borderId="0" xfId="0" quotePrefix="1" applyNumberFormat="1" applyFont="1" applyAlignment="1">
      <alignment horizontal="center" vertical="center"/>
    </xf>
    <xf numFmtId="166" fontId="5" fillId="0" borderId="0" xfId="0" quotePrefix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9EB0-9E75-4003-9640-2A4F1F0FF8FF}">
  <dimension ref="A1:H16"/>
  <sheetViews>
    <sheetView tabSelected="1" zoomScale="130" zoomScaleNormal="130" workbookViewId="0"/>
  </sheetViews>
  <sheetFormatPr defaultRowHeight="15" x14ac:dyDescent="0.25"/>
  <cols>
    <col min="1" max="5" width="9.140625" style="3"/>
    <col min="6" max="6" width="15.42578125" style="3" bestFit="1" customWidth="1"/>
    <col min="7" max="7" width="11" style="3" bestFit="1" customWidth="1"/>
    <col min="8" max="16384" width="9.140625" style="3"/>
  </cols>
  <sheetData>
    <row r="1" spans="1:8" x14ac:dyDescent="0.25">
      <c r="A1" s="3" t="s">
        <v>13</v>
      </c>
    </row>
    <row r="3" spans="1:8" x14ac:dyDescent="0.25">
      <c r="B3" s="1" t="s">
        <v>6</v>
      </c>
      <c r="C3" s="1" t="s">
        <v>7</v>
      </c>
      <c r="D3" s="1" t="s">
        <v>12</v>
      </c>
      <c r="E3" s="2" t="s">
        <v>11</v>
      </c>
      <c r="F3" s="2" t="s">
        <v>10</v>
      </c>
      <c r="G3" s="1" t="s">
        <v>9</v>
      </c>
      <c r="H3" s="3" t="s">
        <v>8</v>
      </c>
    </row>
    <row r="4" spans="1:8" x14ac:dyDescent="0.25">
      <c r="B4" s="8">
        <v>0.37709999999999999</v>
      </c>
      <c r="C4" s="4">
        <v>4.7290999999999999</v>
      </c>
      <c r="D4" s="3">
        <f>0.2*10^(-2)</f>
        <v>2E-3</v>
      </c>
      <c r="E4" s="3">
        <f>0.5*10^(-3)</f>
        <v>5.0000000000000001E-4</v>
      </c>
      <c r="F4" s="3">
        <f>ABS(EXP(1)^B4)*D4 + ABS(1/(2*SQRT(C4)))*E4</f>
        <v>3.0310612742708337E-3</v>
      </c>
      <c r="G4" s="5">
        <f>F4/H4</f>
        <v>8.3438260468066063E-4</v>
      </c>
      <c r="H4" s="10">
        <f>POWER(EXP(1), B4) + SQRT(C4)</f>
        <v>3.6326995041212511</v>
      </c>
    </row>
    <row r="5" spans="1:8" x14ac:dyDescent="0.25">
      <c r="B5" s="8">
        <v>0.37709999999999999</v>
      </c>
      <c r="C5" s="4">
        <v>4.7290999999999999</v>
      </c>
      <c r="D5" s="3">
        <f>D4+0.5*10^(-3)</f>
        <v>2.5000000000000001E-3</v>
      </c>
      <c r="E5" s="3">
        <f>0.5*10^(-3)</f>
        <v>5.0000000000000001E-4</v>
      </c>
      <c r="F5" s="3">
        <f t="shared" ref="F5:F12" si="0">ABS(EXP(1)^B5)*D5 + ABS(1/(2*SQRT(C5)))*E5</f>
        <v>3.7600863278167977E-3</v>
      </c>
      <c r="G5" s="5">
        <f t="shared" ref="G5:G12" si="1">F5/H5</f>
        <v>1.0350667110095475E-3</v>
      </c>
      <c r="H5" s="10">
        <f t="shared" ref="H5:H12" si="2">POWER(EXP(1), B5) + SQRT(C5)</f>
        <v>3.6326995041212511</v>
      </c>
    </row>
    <row r="6" spans="1:8" x14ac:dyDescent="0.25">
      <c r="B6" s="8">
        <v>0.37709999999999999</v>
      </c>
      <c r="C6" s="4">
        <v>4.7290999999999999</v>
      </c>
      <c r="D6" s="3">
        <f t="shared" ref="D6:D12" si="3">D5+0.5*10^(-3)</f>
        <v>3.0000000000000001E-3</v>
      </c>
      <c r="E6" s="3">
        <f t="shared" ref="E6:E12" si="4">0.5*10^(-3)</f>
        <v>5.0000000000000001E-4</v>
      </c>
      <c r="F6" s="3">
        <f t="shared" si="0"/>
        <v>4.4891113813627622E-3</v>
      </c>
      <c r="G6" s="5">
        <f t="shared" si="1"/>
        <v>1.2357508173384346E-3</v>
      </c>
      <c r="H6" s="10">
        <f t="shared" si="2"/>
        <v>3.6326995041212511</v>
      </c>
    </row>
    <row r="7" spans="1:8" x14ac:dyDescent="0.25">
      <c r="B7" s="8">
        <v>0.37709999999999999</v>
      </c>
      <c r="C7" s="4">
        <v>4.7290999999999999</v>
      </c>
      <c r="D7" s="3">
        <f t="shared" si="3"/>
        <v>3.5000000000000001E-3</v>
      </c>
      <c r="E7" s="3">
        <f t="shared" si="4"/>
        <v>5.0000000000000001E-4</v>
      </c>
      <c r="F7" s="3">
        <f t="shared" si="0"/>
        <v>5.2181364349087262E-3</v>
      </c>
      <c r="G7" s="5">
        <f t="shared" si="1"/>
        <v>1.4364349236673216E-3</v>
      </c>
      <c r="H7" s="13">
        <f t="shared" si="2"/>
        <v>3.6326995041212511</v>
      </c>
    </row>
    <row r="8" spans="1:8" x14ac:dyDescent="0.25">
      <c r="B8" s="8">
        <v>0.37709999999999999</v>
      </c>
      <c r="C8" s="4">
        <v>4.7290999999999999</v>
      </c>
      <c r="D8" s="3">
        <f t="shared" si="3"/>
        <v>4.0000000000000001E-3</v>
      </c>
      <c r="E8" s="3">
        <f t="shared" si="4"/>
        <v>5.0000000000000001E-4</v>
      </c>
      <c r="F8" s="3">
        <f t="shared" si="0"/>
        <v>5.9471614884546893E-3</v>
      </c>
      <c r="G8" s="5">
        <f t="shared" si="1"/>
        <v>1.6371190299962082E-3</v>
      </c>
      <c r="H8" s="13">
        <f t="shared" si="2"/>
        <v>3.6326995041212511</v>
      </c>
    </row>
    <row r="9" spans="1:8" x14ac:dyDescent="0.25">
      <c r="B9" s="8">
        <v>0.37709999999999999</v>
      </c>
      <c r="C9" s="4">
        <v>4.7290999999999999</v>
      </c>
      <c r="D9" s="3">
        <f t="shared" si="3"/>
        <v>4.5000000000000005E-3</v>
      </c>
      <c r="E9" s="3">
        <f t="shared" si="4"/>
        <v>5.0000000000000001E-4</v>
      </c>
      <c r="F9" s="3">
        <f t="shared" si="0"/>
        <v>6.6761865420006542E-3</v>
      </c>
      <c r="G9" s="5">
        <f t="shared" si="1"/>
        <v>1.8378031363250954E-3</v>
      </c>
      <c r="H9" s="13">
        <f t="shared" si="2"/>
        <v>3.6326995041212511</v>
      </c>
    </row>
    <row r="10" spans="1:8" x14ac:dyDescent="0.25">
      <c r="B10" s="8">
        <v>0.37709999999999999</v>
      </c>
      <c r="C10" s="4">
        <v>4.7290999999999999</v>
      </c>
      <c r="D10" s="3">
        <f t="shared" si="3"/>
        <v>5.000000000000001E-3</v>
      </c>
      <c r="E10" s="3">
        <f t="shared" si="4"/>
        <v>5.0000000000000001E-4</v>
      </c>
      <c r="F10" s="3">
        <f t="shared" si="0"/>
        <v>7.4052115955466182E-3</v>
      </c>
      <c r="G10" s="5">
        <f t="shared" si="1"/>
        <v>2.0384872426539823E-3</v>
      </c>
      <c r="H10" s="13">
        <f t="shared" si="2"/>
        <v>3.6326995041212511</v>
      </c>
    </row>
    <row r="11" spans="1:8" x14ac:dyDescent="0.25">
      <c r="B11" s="9">
        <v>0.37709999999999999</v>
      </c>
      <c r="C11" s="4">
        <v>4.7290999999999999</v>
      </c>
      <c r="D11" s="3">
        <f t="shared" si="3"/>
        <v>5.5000000000000014E-3</v>
      </c>
      <c r="E11" s="3">
        <f t="shared" si="4"/>
        <v>5.0000000000000001E-4</v>
      </c>
      <c r="F11" s="3">
        <f t="shared" si="0"/>
        <v>8.1342366490925831E-3</v>
      </c>
      <c r="G11" s="5">
        <f t="shared" si="1"/>
        <v>2.2391713489828694E-3</v>
      </c>
      <c r="H11" s="13">
        <f t="shared" si="2"/>
        <v>3.6326995041212511</v>
      </c>
    </row>
    <row r="12" spans="1:8" x14ac:dyDescent="0.25">
      <c r="B12" s="9">
        <v>0.37709999999999999</v>
      </c>
      <c r="C12" s="4">
        <v>4.7290999999999999</v>
      </c>
      <c r="D12" s="3">
        <f t="shared" si="3"/>
        <v>6.0000000000000019E-3</v>
      </c>
      <c r="E12" s="3">
        <f t="shared" si="4"/>
        <v>5.0000000000000001E-4</v>
      </c>
      <c r="F12" s="3">
        <f t="shared" si="0"/>
        <v>8.8632617026385471E-3</v>
      </c>
      <c r="G12" s="5">
        <f t="shared" si="1"/>
        <v>2.4398554553117565E-3</v>
      </c>
      <c r="H12" s="13">
        <f t="shared" si="2"/>
        <v>3.6326995041212511</v>
      </c>
    </row>
    <row r="14" spans="1:8" x14ac:dyDescent="0.25">
      <c r="B14" s="1" t="s">
        <v>0</v>
      </c>
      <c r="C14" s="1" t="s">
        <v>3</v>
      </c>
      <c r="H14" s="1" t="s">
        <v>3</v>
      </c>
    </row>
    <row r="15" spans="1:8" x14ac:dyDescent="0.25">
      <c r="B15" s="6" t="s">
        <v>4</v>
      </c>
      <c r="C15" s="1" t="s">
        <v>1</v>
      </c>
      <c r="H15" s="11" t="s">
        <v>2</v>
      </c>
    </row>
    <row r="16" spans="1:8" x14ac:dyDescent="0.25">
      <c r="B16" s="7" t="s">
        <v>5</v>
      </c>
      <c r="H16" s="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bubsavage</dc:creator>
  <cp:lastModifiedBy>bubsavage</cp:lastModifiedBy>
  <dcterms:created xsi:type="dcterms:W3CDTF">2026-02-17T06:17:57Z</dcterms:created>
  <dcterms:modified xsi:type="dcterms:W3CDTF">2026-02-17T09:15:32Z</dcterms:modified>
</cp:coreProperties>
</file>